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s" sheetId="2" state="visible" r:id="rId4"/>
    <sheet name="Sensitivity" sheetId="3" state="visible" r:id="rId5"/>
    <sheet name="Notes" sheetId="4" state="visible" r:id="rId6"/>
  </sheets>
  <definedNames>
    <definedName function="false" hidden="true" localSheetId="2" name="_xlnm._FilterDatabase" vbProcedure="false">Sensitivity!$A$3:$J$18</definedName>
    <definedName function="false" hidden="true" localSheetId="1" name="_xlnm._FilterDatabase" vbProcedure="false">Trades!$A$1:$P$156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Polymarket docs list 0.07 for crypto; the dataset itself records fee_rate_bps = 0, so set to 0 to match the raw data.</t>
        </r>
      </text>
    </comment>
    <comment ref="C6" authorId="0">
      <text>
        <r>
          <rPr>
            <sz val="10"/>
            <rFont val="Arial"/>
            <family val="2"/>
          </rPr>
          <t xml:space="preserve">Use for stress tests, e.g. 0.01 = 1¢/share.</t>
        </r>
      </text>
    </comment>
    <comment ref="C7" authorId="0">
      <text>
        <r>
          <rPr>
            <sz val="10"/>
            <rFont val="Arial"/>
            <family val="2"/>
          </rPr>
          <t xml:space="preserve">1.96 = 95% Wilson interval.</t>
        </r>
      </text>
    </comment>
    <comment ref="C8" authorId="0">
      <text>
        <r>
          <rPr>
            <sz val="10"/>
            <rFont val="Arial"/>
            <family val="2"/>
          </rPr>
          <t xml:space="preserve">Total 5-minute windows covered by the data.</t>
        </r>
      </text>
    </comment>
  </commentList>
</comments>
</file>

<file path=xl/sharedStrings.xml><?xml version="1.0" encoding="utf-8"?>
<sst xmlns="http://schemas.openxmlformats.org/spreadsheetml/2006/main" count="566" uniqueCount="248">
  <si>
    <t xml:space="preserve">Late-entry BTC Up/Down bot — backtest summary</t>
  </si>
  <si>
    <t xml:space="preserve">Data: 288 five-minute windows, 15 Jun 2026 (UTC). Baseline = ideal fills, $20 stake, entry band 0.98–0.99, last 30 s to 3 s.</t>
  </si>
  <si>
    <t xml:space="preserve">Inputs (blue = edit)</t>
  </si>
  <si>
    <t xml:space="preserve">Taker fee rate (fee = shares × rate × p × (1−p))</t>
  </si>
  <si>
    <t xml:space="preserve">Extra flat fee per share ($)</t>
  </si>
  <si>
    <t xml:space="preserve">Confidence z-score</t>
  </si>
  <si>
    <t xml:space="preserve">Windows in dataset</t>
  </si>
  <si>
    <t xml:space="preserve">Results (formulas, live from Trades sheet)</t>
  </si>
  <si>
    <t xml:space="preserve">Entries</t>
  </si>
  <si>
    <t xml:space="preserve">Windows with no entry</t>
  </si>
  <si>
    <t xml:space="preserve">Wins</t>
  </si>
  <si>
    <t xml:space="preserve">Losses</t>
  </si>
  <si>
    <t xml:space="preserve">Win rate</t>
  </si>
  <si>
    <t xml:space="preserve">Win-rate CI low (Wilson)</t>
  </si>
  <si>
    <t xml:space="preserve">Win-rate CI high (Wilson)</t>
  </si>
  <si>
    <t xml:space="preserve">Volume-weighted avg fill price</t>
  </si>
  <si>
    <t xml:space="preserve">Breakeven win rate (≈ avg fill + fee/share)</t>
  </si>
  <si>
    <t xml:space="preserve">Capital deployed ($)</t>
  </si>
  <si>
    <t xml:space="preserve">Gross P&amp;L ($)</t>
  </si>
  <si>
    <t xml:space="preserve">Fees ($)</t>
  </si>
  <si>
    <t xml:space="preserve">Net P&amp;L ($)</t>
  </si>
  <si>
    <t xml:space="preserve">Net P&amp;L per trade ($)</t>
  </si>
  <si>
    <t xml:space="preserve">Return on capital deployed</t>
  </si>
  <si>
    <t xml:space="preserve">Average win ($, net of fee)</t>
  </si>
  <si>
    <t xml:space="preserve">Average loss ($, net of fee)</t>
  </si>
  <si>
    <t xml:space="preserve">Wins erased by one loss</t>
  </si>
  <si>
    <t xml:space="preserve">Breakeven losses at this trade count</t>
  </si>
  <si>
    <t xml:space="preserve">Breakeven loss rate</t>
  </si>
  <si>
    <t xml:space="preserve">Max drawdown ($)</t>
  </si>
  <si>
    <t xml:space="preserve">Avg entry time (s before close)</t>
  </si>
  <si>
    <t xml:space="preserve">Up entries</t>
  </si>
  <si>
    <t xml:space="preserve">Down entries</t>
  </si>
  <si>
    <t xml:space="preserve">What-if: net P&amp;L if the trade set had k losses</t>
  </si>
  <si>
    <t xml:space="preserve">Losses (k)</t>
  </si>
  <si>
    <t xml:space="preserve">Fee stress test on these trades</t>
  </si>
  <si>
    <t xml:space="preserve">Scenario</t>
  </si>
  <si>
    <t xml:space="preserve">Rate / per share</t>
  </si>
  <si>
    <t xml:space="preserve">No fees</t>
  </si>
  <si>
    <t xml:space="preserve">Docs formula, rate 0.07</t>
  </si>
  <si>
    <t xml:space="preserve">Docs formula, rate 0.072</t>
  </si>
  <si>
    <t xml:space="preserve">Flat 0.5¢ per share</t>
  </si>
  <si>
    <t xml:space="preserve">Flat 1¢ per share</t>
  </si>
  <si>
    <t xml:space="preserve">Note: rows 48–52 ignore the fee inputs above and use their own rates. SUMPRODUCT rows include blank rows safely (blank=0).</t>
  </si>
  <si>
    <t xml:space="preserve">Market #</t>
  </si>
  <si>
    <t xml:space="preserve">Market</t>
  </si>
  <si>
    <t xml:space="preserve">Close (UTC)</t>
  </si>
  <si>
    <t xml:space="preserve">Side</t>
  </si>
  <si>
    <t xml:space="preserve">Ask seen</t>
  </si>
  <si>
    <t xml:space="preserve">Avg fill</t>
  </si>
  <si>
    <t xml:space="preserve">Shares</t>
  </si>
  <si>
    <t xml:space="preserve">Cost ($)</t>
  </si>
  <si>
    <t xml:space="preserve">Winner</t>
  </si>
  <si>
    <t xml:space="preserve">Win? (1/0)</t>
  </si>
  <si>
    <t xml:space="preserve">Fee ($)</t>
  </si>
  <si>
    <t xml:space="preserve">Entered (s before close)</t>
  </si>
  <si>
    <t xml:space="preserve">Cum net P&amp;L ($)</t>
  </si>
  <si>
    <t xml:space="preserve">Drawdown ($)</t>
  </si>
  <si>
    <t xml:space="preserve">To update: paste new trades under the last row in the blue columns (A–G, I, N) and copy the black formula columns (H, J–M, O–P) down. Summary ranges cover rows 2–1000.</t>
  </si>
  <si>
    <t xml:space="preserve">Bitcoin Up or Down - June 14, 8:05PM-8:10PM ET</t>
  </si>
  <si>
    <t xml:space="preserve">Up</t>
  </si>
  <si>
    <t xml:space="preserve">Bitcoin Up or Down - June 14, 8:20PM-8:25PM ET</t>
  </si>
  <si>
    <t xml:space="preserve">Down</t>
  </si>
  <si>
    <t xml:space="preserve">Bitcoin Up or Down - June 14, 8:25PM-8:30PM ET</t>
  </si>
  <si>
    <t xml:space="preserve">Bitcoin Up or Down - June 14, 8:40PM-8:45PM ET</t>
  </si>
  <si>
    <t xml:space="preserve">Bitcoin Up or Down - June 14, 8:45PM-8:50PM ET</t>
  </si>
  <si>
    <t xml:space="preserve">Bitcoin Up or Down - June 14, 8:50PM-8:55PM ET</t>
  </si>
  <si>
    <t xml:space="preserve">Bitcoin Up or Down - June 14, 8:55PM-9:00PM ET</t>
  </si>
  <si>
    <t xml:space="preserve">Bitcoin Up or Down - June 14, 9:10PM-9:15PM ET</t>
  </si>
  <si>
    <t xml:space="preserve">Bitcoin Up or Down - June 14, 9:15PM-9:20PM ET</t>
  </si>
  <si>
    <t xml:space="preserve">Bitcoin Up or Down - June 14, 9:20PM-9:25PM ET</t>
  </si>
  <si>
    <t xml:space="preserve">Bitcoin Up or Down - June 14, 9:25PM-9:30PM ET</t>
  </si>
  <si>
    <t xml:space="preserve">Bitcoin Up or Down - June 14, 9:40PM-9:45PM ET</t>
  </si>
  <si>
    <t xml:space="preserve">Bitcoin Up or Down - June 14, 9:55PM-10:00PM ET</t>
  </si>
  <si>
    <t xml:space="preserve">Bitcoin Up or Down - June 14, 10:10PM-10:15PM ET</t>
  </si>
  <si>
    <t xml:space="preserve">Bitcoin Up or Down - June 14, 10:15PM-10:20PM ET</t>
  </si>
  <si>
    <t xml:space="preserve">Bitcoin Up or Down - June 14, 10:20PM-10:25PM ET</t>
  </si>
  <si>
    <t xml:space="preserve">Bitcoin Up or Down - June 14, 10:35PM-10:40PM ET</t>
  </si>
  <si>
    <t xml:space="preserve">Bitcoin Up or Down - June 14, 10:40PM-10:45PM ET</t>
  </si>
  <si>
    <t xml:space="preserve">Bitcoin Up or Down - June 14, 10:45PM-10:50PM ET</t>
  </si>
  <si>
    <t xml:space="preserve">Bitcoin Up or Down - June 14, 10:50PM-10:55PM ET</t>
  </si>
  <si>
    <t xml:space="preserve">Bitcoin Up or Down - June 14, 11:05PM-11:10PM ET</t>
  </si>
  <si>
    <t xml:space="preserve">Bitcoin Up or Down - June 14, 11:15PM-11:20PM ET</t>
  </si>
  <si>
    <t xml:space="preserve">Bitcoin Up or Down - June 14, 11:20PM-11:25PM ET</t>
  </si>
  <si>
    <t xml:space="preserve">Bitcoin Up or Down - June 14, 11:25PM-11:30PM ET</t>
  </si>
  <si>
    <t xml:space="preserve">Bitcoin Up or Down - June 14, 11:30PM-11:35PM ET</t>
  </si>
  <si>
    <t xml:space="preserve">Bitcoin Up or Down - June 14, 11:35PM-11:40PM ET</t>
  </si>
  <si>
    <t xml:space="preserve">Bitcoin Up or Down - June 14, 11:50PM-11:55PM ET</t>
  </si>
  <si>
    <t xml:space="preserve">Bitcoin Up or Down - June 14, 11:55PM-12:00AM ET</t>
  </si>
  <si>
    <t xml:space="preserve">Bitcoin Up or Down - June 15, 12:05AM-12:10AM ET</t>
  </si>
  <si>
    <t xml:space="preserve">Bitcoin Up or Down - June 15, 12:15AM-12:20AM ET</t>
  </si>
  <si>
    <t xml:space="preserve">Bitcoin Up or Down - June 15, 12:20AM-12:25AM ET</t>
  </si>
  <si>
    <t xml:space="preserve">Bitcoin Up or Down - June 15, 12:35AM-12:40AM ET</t>
  </si>
  <si>
    <t xml:space="preserve">Bitcoin Up or Down - June 15, 12:50AM-12:55AM ET</t>
  </si>
  <si>
    <t xml:space="preserve">Bitcoin Up or Down - June 15, 12:55AM-1:00AM ET</t>
  </si>
  <si>
    <t xml:space="preserve">Bitcoin Up or Down - June 15, 1:00AM-1:05AM ET</t>
  </si>
  <si>
    <t xml:space="preserve">Bitcoin Up or Down - June 15, 1:05AM-1:10AM ET</t>
  </si>
  <si>
    <t xml:space="preserve">Bitcoin Up or Down - June 15, 1:10AM-1:15AM ET</t>
  </si>
  <si>
    <t xml:space="preserve">Bitcoin Up or Down - June 15, 1:15AM-1:20AM ET</t>
  </si>
  <si>
    <t xml:space="preserve">Bitcoin Up or Down - June 15, 1:55AM-2:00AM ET</t>
  </si>
  <si>
    <t xml:space="preserve">Bitcoin Up or Down - June 15, 2:10AM-2:15AM ET</t>
  </si>
  <si>
    <t xml:space="preserve">Bitcoin Up or Down - June 15, 2:15AM-2:20AM ET</t>
  </si>
  <si>
    <t xml:space="preserve">Bitcoin Up or Down - June 15, 2:20AM-2:25AM ET</t>
  </si>
  <si>
    <t xml:space="preserve">Bitcoin Up or Down - June 15, 2:25AM-2:30AM ET</t>
  </si>
  <si>
    <t xml:space="preserve">Bitcoin Up or Down - June 15, 2:30AM-2:35AM ET</t>
  </si>
  <si>
    <t xml:space="preserve">Bitcoin Up or Down - June 15, 2:35AM-2:40AM ET</t>
  </si>
  <si>
    <t xml:space="preserve">Bitcoin Up or Down - June 15, 2:40AM-2:45AM ET</t>
  </si>
  <si>
    <t xml:space="preserve">Bitcoin Up or Down - June 15, 2:50AM-2:55AM ET</t>
  </si>
  <si>
    <t xml:space="preserve">Bitcoin Up or Down - June 15, 2:55AM-3:00AM ET</t>
  </si>
  <si>
    <t xml:space="preserve">Bitcoin Up or Down - June 15, 3:05AM-3:10AM ET</t>
  </si>
  <si>
    <t xml:space="preserve">Bitcoin Up or Down - June 15, 3:10AM-3:15AM ET</t>
  </si>
  <si>
    <t xml:space="preserve">Bitcoin Up or Down - June 15, 3:25AM-3:30AM ET</t>
  </si>
  <si>
    <t xml:space="preserve">Bitcoin Up or Down - June 15, 4:05AM-4:10AM ET</t>
  </si>
  <si>
    <t xml:space="preserve">Bitcoin Up or Down - June 15, 4:10AM-4:15AM ET</t>
  </si>
  <si>
    <t xml:space="preserve">Bitcoin Up or Down - June 15, 4:20AM-4:25AM ET</t>
  </si>
  <si>
    <t xml:space="preserve">Bitcoin Up or Down - June 15, 4:25AM-4:30AM ET</t>
  </si>
  <si>
    <t xml:space="preserve">Bitcoin Up or Down - June 15, 4:30AM-4:35AM ET</t>
  </si>
  <si>
    <t xml:space="preserve">Bitcoin Up or Down - June 15, 4:35AM-4:40AM ET</t>
  </si>
  <si>
    <t xml:space="preserve">Bitcoin Up or Down - June 15, 4:40AM-4:45AM ET</t>
  </si>
  <si>
    <t xml:space="preserve">Bitcoin Up or Down - June 15, 4:45AM-4:50AM ET</t>
  </si>
  <si>
    <t xml:space="preserve">Bitcoin Up or Down - June 15, 5:00AM-5:05AM ET</t>
  </si>
  <si>
    <t xml:space="preserve">Bitcoin Up or Down - June 15, 5:05AM-5:10AM ET</t>
  </si>
  <si>
    <t xml:space="preserve">Bitcoin Up or Down - June 15, 5:10AM-5:15AM ET</t>
  </si>
  <si>
    <t xml:space="preserve">Bitcoin Up or Down - June 15, 5:25AM-5:30AM ET</t>
  </si>
  <si>
    <t xml:space="preserve">Bitcoin Up or Down - June 15, 5:35AM-5:40AM ET</t>
  </si>
  <si>
    <t xml:space="preserve">Bitcoin Up or Down - June 15, 5:40AM-5:45AM ET</t>
  </si>
  <si>
    <t xml:space="preserve">Bitcoin Up or Down - June 15, 5:45AM-5:50AM ET</t>
  </si>
  <si>
    <t xml:space="preserve">Bitcoin Up or Down - June 15, 5:50AM-5:55AM ET</t>
  </si>
  <si>
    <t xml:space="preserve">Bitcoin Up or Down - June 15, 5:55AM-6:00AM ET</t>
  </si>
  <si>
    <t xml:space="preserve">Bitcoin Up or Down - June 15, 6:00AM-6:05AM ET</t>
  </si>
  <si>
    <t xml:space="preserve">Bitcoin Up or Down - June 15, 6:10AM-6:15AM ET</t>
  </si>
  <si>
    <t xml:space="preserve">Bitcoin Up or Down - June 15, 6:15AM-6:20AM ET</t>
  </si>
  <si>
    <t xml:space="preserve">Bitcoin Up or Down - June 15, 6:20AM-6:25AM ET</t>
  </si>
  <si>
    <t xml:space="preserve">Bitcoin Up or Down - June 15, 6:25AM-6:30AM ET</t>
  </si>
  <si>
    <t xml:space="preserve">Bitcoin Up or Down - June 15, 6:30AM-6:35AM ET</t>
  </si>
  <si>
    <t xml:space="preserve">Bitcoin Up or Down - June 15, 6:50AM-6:55AM ET</t>
  </si>
  <si>
    <t xml:space="preserve">Bitcoin Up or Down - June 15, 6:55AM-7:00AM ET</t>
  </si>
  <si>
    <t xml:space="preserve">Bitcoin Up or Down - June 15, 7:00AM-7:05AM ET</t>
  </si>
  <si>
    <t xml:space="preserve">Bitcoin Up or Down - June 15, 7:05AM-7:10AM ET</t>
  </si>
  <si>
    <t xml:space="preserve">Bitcoin Up or Down - June 15, 7:10AM-7:15AM ET</t>
  </si>
  <si>
    <t xml:space="preserve">Bitcoin Up or Down - June 15, 7:20AM-7:25AM ET</t>
  </si>
  <si>
    <t xml:space="preserve">Bitcoin Up or Down - June 15, 7:35AM-7:40AM ET</t>
  </si>
  <si>
    <t xml:space="preserve">Bitcoin Up or Down - June 15, 7:40AM-7:45AM ET</t>
  </si>
  <si>
    <t xml:space="preserve">Bitcoin Up or Down - June 15, 8:05AM-8:10AM ET</t>
  </si>
  <si>
    <t xml:space="preserve">Bitcoin Up or Down - June 15, 8:15AM-8:20AM ET</t>
  </si>
  <si>
    <t xml:space="preserve">Bitcoin Up or Down - June 15, 8:25AM-8:30AM ET</t>
  </si>
  <si>
    <t xml:space="preserve">Bitcoin Up or Down - June 15, 8:30AM-8:35AM ET</t>
  </si>
  <si>
    <t xml:space="preserve">Bitcoin Up or Down - June 15, 8:45AM-8:50AM ET</t>
  </si>
  <si>
    <t xml:space="preserve">Bitcoin Up or Down - June 15, 9:00AM-9:05AM ET</t>
  </si>
  <si>
    <t xml:space="preserve">Bitcoin Up or Down - June 15, 9:05AM-9:10AM ET</t>
  </si>
  <si>
    <t xml:space="preserve">Bitcoin Up or Down - June 15, 9:10AM-9:15AM ET</t>
  </si>
  <si>
    <t xml:space="preserve">Bitcoin Up or Down - June 15, 9:25AM-9:30AM ET</t>
  </si>
  <si>
    <t xml:space="preserve">Bitcoin Up or Down - June 15, 9:30AM-9:35AM ET</t>
  </si>
  <si>
    <t xml:space="preserve">Bitcoin Up or Down - June 15, 9:45AM-9:50AM ET</t>
  </si>
  <si>
    <t xml:space="preserve">Bitcoin Up or Down - June 15, 9:55AM-10:00AM ET</t>
  </si>
  <si>
    <t xml:space="preserve">Bitcoin Up or Down - June 15, 10:05AM-10:10AM ET</t>
  </si>
  <si>
    <t xml:space="preserve">Bitcoin Up or Down - June 15, 10:10AM-10:15AM ET</t>
  </si>
  <si>
    <t xml:space="preserve">Bitcoin Up or Down - June 15, 10:30AM-10:35AM ET</t>
  </si>
  <si>
    <t xml:space="preserve">Bitcoin Up or Down - June 15, 10:35AM-10:40AM ET</t>
  </si>
  <si>
    <t xml:space="preserve">Bitcoin Up or Down - June 15, 10:40AM-10:45AM ET</t>
  </si>
  <si>
    <t xml:space="preserve">Bitcoin Up or Down - June 15, 10:50AM-10:55AM ET</t>
  </si>
  <si>
    <t xml:space="preserve">Bitcoin Up or Down - June 15, 10:55AM-11:00AM ET</t>
  </si>
  <si>
    <t xml:space="preserve">Bitcoin Up or Down - June 15, 11:00AM-11:05AM ET</t>
  </si>
  <si>
    <t xml:space="preserve">Bitcoin Up or Down - June 15, 11:05AM-11:10AM ET</t>
  </si>
  <si>
    <t xml:space="preserve">Bitcoin Up or Down - June 15, 11:10AM-11:15AM ET</t>
  </si>
  <si>
    <t xml:space="preserve">Bitcoin Up or Down - June 15, 11:20AM-11:25AM ET</t>
  </si>
  <si>
    <t xml:space="preserve">Bitcoin Up or Down - June 15, 11:50AM-11:55AM ET</t>
  </si>
  <si>
    <t xml:space="preserve">Bitcoin Up or Down - June 15, 11:55AM-12:00PM ET</t>
  </si>
  <si>
    <t xml:space="preserve">Bitcoin Up or Down - June 15, 12:25PM-12:30PM ET</t>
  </si>
  <si>
    <t xml:space="preserve">Bitcoin Up or Down - June 15, 12:30PM-12:35PM ET</t>
  </si>
  <si>
    <t xml:space="preserve">Bitcoin Up or Down - June 15, 12:50PM-12:55PM ET</t>
  </si>
  <si>
    <t xml:space="preserve">Bitcoin Up or Down - June 15, 1:05PM-1:10PM ET</t>
  </si>
  <si>
    <t xml:space="preserve">Bitcoin Up or Down - June 15, 1:10PM-1:15PM ET</t>
  </si>
  <si>
    <t xml:space="preserve">Bitcoin Up or Down - June 15, 1:20PM-1:25PM ET</t>
  </si>
  <si>
    <t xml:space="preserve">Bitcoin Up or Down - June 15, 1:25PM-1:30PM ET</t>
  </si>
  <si>
    <t xml:space="preserve">Bitcoin Up or Down - June 15, 1:30PM-1:35PM ET</t>
  </si>
  <si>
    <t xml:space="preserve">Bitcoin Up or Down - June 15, 1:40PM-1:45PM ET</t>
  </si>
  <si>
    <t xml:space="preserve">Bitcoin Up or Down - June 15, 1:45PM-1:50PM ET</t>
  </si>
  <si>
    <t xml:space="preserve">Bitcoin Up or Down - June 15, 1:55PM-2:00PM ET</t>
  </si>
  <si>
    <t xml:space="preserve">Bitcoin Up or Down - June 15, 2:00PM-2:05PM ET</t>
  </si>
  <si>
    <t xml:space="preserve">Bitcoin Up or Down - June 15, 2:10PM-2:15PM ET</t>
  </si>
  <si>
    <t xml:space="preserve">Bitcoin Up or Down - June 15, 2:15PM-2:20PM ET</t>
  </si>
  <si>
    <t xml:space="preserve">Bitcoin Up or Down - June 15, 2:25PM-2:30PM ET</t>
  </si>
  <si>
    <t xml:space="preserve">Bitcoin Up or Down - June 15, 2:30PM-2:35PM ET</t>
  </si>
  <si>
    <t xml:space="preserve">Bitcoin Up or Down - June 15, 2:40PM-2:45PM ET</t>
  </si>
  <si>
    <t xml:space="preserve">Bitcoin Up or Down - June 15, 3:05PM-3:10PM ET</t>
  </si>
  <si>
    <t xml:space="preserve">Bitcoin Up or Down - June 15, 3:25PM-3:30PM ET</t>
  </si>
  <si>
    <t xml:space="preserve">Bitcoin Up or Down - June 15, 3:40PM-3:45PM ET</t>
  </si>
  <si>
    <t xml:space="preserve">Bitcoin Up or Down - June 15, 3:50PM-3:55PM ET</t>
  </si>
  <si>
    <t xml:space="preserve">Bitcoin Up or Down - June 15, 4:05PM-4:10PM ET</t>
  </si>
  <si>
    <t xml:space="preserve">Bitcoin Up or Down - June 15, 4:10PM-4:15PM ET</t>
  </si>
  <si>
    <t xml:space="preserve">Bitcoin Up or Down - June 15, 4:15PM-4:20PM ET</t>
  </si>
  <si>
    <t xml:space="preserve">Bitcoin Up or Down - June 15, 4:25PM-4:30PM ET</t>
  </si>
  <si>
    <t xml:space="preserve">Bitcoin Up or Down - June 15, 4:35PM-4:40PM ET</t>
  </si>
  <si>
    <t xml:space="preserve">Bitcoin Up or Down - June 15, 4:50PM-4:55PM ET</t>
  </si>
  <si>
    <t xml:space="preserve">Bitcoin Up or Down - June 15, 4:55PM-5:00PM ET</t>
  </si>
  <si>
    <t xml:space="preserve">Bitcoin Up or Down - June 15, 5:00PM-5:05PM ET</t>
  </si>
  <si>
    <t xml:space="preserve">Bitcoin Up or Down - June 15, 5:10PM-5:15PM ET</t>
  </si>
  <si>
    <t xml:space="preserve">Bitcoin Up or Down - June 15, 5:15PM-5:20PM ET</t>
  </si>
  <si>
    <t xml:space="preserve">Bitcoin Up or Down - June 15, 5:20PM-5:25PM ET</t>
  </si>
  <si>
    <t xml:space="preserve">Bitcoin Up or Down - June 15, 5:35PM-5:40PM ET</t>
  </si>
  <si>
    <t xml:space="preserve">Bitcoin Up or Down - June 15, 5:40PM-5:45PM ET</t>
  </si>
  <si>
    <t xml:space="preserve">Bitcoin Up or Down - June 15, 5:50PM-5:55PM ET</t>
  </si>
  <si>
    <t xml:space="preserve">Bitcoin Up or Down - June 15, 5:55PM-6:00PM ET</t>
  </si>
  <si>
    <t xml:space="preserve">Bitcoin Up or Down - June 15, 6:05PM-6:10PM ET</t>
  </si>
  <si>
    <t xml:space="preserve">Bitcoin Up or Down - June 15, 6:35PM-6:40PM ET</t>
  </si>
  <si>
    <t xml:space="preserve">Bitcoin Up or Down - June 15, 6:40PM-6:45PM ET</t>
  </si>
  <si>
    <t xml:space="preserve">Bitcoin Up or Down - June 15, 6:50PM-6:55PM ET</t>
  </si>
  <si>
    <t xml:space="preserve">Bitcoin Up or Down - June 15, 6:55PM-7:00PM ET</t>
  </si>
  <si>
    <t xml:space="preserve">Bitcoin Up or Down - June 15, 7:05PM-7:10PM ET</t>
  </si>
  <si>
    <t xml:space="preserve">Bitcoin Up or Down - June 15, 7:10PM-7:15PM ET</t>
  </si>
  <si>
    <t xml:space="preserve">Bitcoin Up or Down - June 15, 7:20PM-7:25PM ET</t>
  </si>
  <si>
    <t xml:space="preserve">Bitcoin Up or Down - June 15, 7:30PM-7:35PM ET</t>
  </si>
  <si>
    <t xml:space="preserve">Bitcoin Up or Down - June 15, 7:40PM-7:45PM ET</t>
  </si>
  <si>
    <t xml:space="preserve">Bitcoin Up or Down - June 15, 7:45PM-7:50PM ET</t>
  </si>
  <si>
    <t xml:space="preserve">Bitcoin Up or Down - June 15, 7:55PM-8:00PM ET</t>
  </si>
  <si>
    <t xml:space="preserve">Scenario results from the backtest (static values — rerun the backtest to refresh)</t>
  </si>
  <si>
    <t xml:space="preserve">Capital ($)</t>
  </si>
  <si>
    <t xml:space="preserve">Net P&amp;L ($, 0 fee)</t>
  </si>
  <si>
    <t xml:space="preserve">P&amp;L per trade ($)</t>
  </si>
  <si>
    <t xml:space="preserve">ROI</t>
  </si>
  <si>
    <t xml:space="preserve">baseline (ideal, 0 latency)</t>
  </si>
  <si>
    <t xml:space="preserve">latency 250ms obs+fill</t>
  </si>
  <si>
    <t xml:space="preserve">latency 500ms obs+fill</t>
  </si>
  <si>
    <t xml:space="preserve">latency 1000ms obs+fill</t>
  </si>
  <si>
    <t xml:space="preserve">latency 2000ms obs+fill</t>
  </si>
  <si>
    <t xml:space="preserve">latency 1000ms fill only</t>
  </si>
  <si>
    <t xml:space="preserve">entry window last 20s</t>
  </si>
  <si>
    <t xml:space="preserve">entry window last 10s</t>
  </si>
  <si>
    <t xml:space="preserve">band 0.97-0.99</t>
  </si>
  <si>
    <t xml:space="preserve">band 0.95-0.99</t>
  </si>
  <si>
    <t xml:space="preserve">band 0.985-0.99</t>
  </si>
  <si>
    <t xml:space="preserve">stake $100</t>
  </si>
  <si>
    <t xml:space="preserve">stake $500</t>
  </si>
  <si>
    <t xml:space="preserve">stop entries 1s before end</t>
  </si>
  <si>
    <t xml:space="preserve">poll 1.0s</t>
  </si>
  <si>
    <t xml:space="preserve">Method</t>
  </si>
  <si>
    <t xml:space="preserve">Book rebuilt per market from snapshots + deltas (BUY = bid, SELL = ask, size = new absolute level size, 0 = remove). Replay matched true snapshot entry decisions 94% of the time, same side every time both entered.</t>
  </si>
  <si>
    <t xml:space="preserve">Only the Up token book exists in the data (verified against outcomes). Down ask ladder = mirror of Up bids (price = 1 − bid price, same size).</t>
  </si>
  <si>
    <t xml:space="preserve">Bot logic replicated: poll every 0.5 s from 30 s to 3 s before close; best ask 0.98–0.99; limit 0.99; walk ask ladder spending ≤ $20; one entry per window; hold to settlement (win = $1/share).</t>
  </si>
  <si>
    <t xml:space="preserve">Latency scenarios: decision book taken half the latency earlier, fill book half the latency later.</t>
  </si>
  <si>
    <t xml:space="preserve">Assumptions I made</t>
  </si>
  <si>
    <t xml:space="preserve">Fee rate default 0.07 (Polymarket docs, crypto taker rate); dataset shows 0 bps — change Summary!C5 to 0 to match raw data.</t>
  </si>
  <si>
    <t xml:space="preserve">Poll timing phase assumed to start exactly 30 s before close.</t>
  </si>
  <si>
    <t xml:space="preserve">Fills use exchange state with no queue position or matching-engine delay.</t>
  </si>
  <si>
    <t xml:space="preserve">Sizes in the delta feed drift slightly from trade fills (a few shares at deep levels) — immaterial at $20.</t>
  </si>
  <si>
    <t xml:space="preserve">Caveats</t>
  </si>
  <si>
    <t xml:space="preserve">288 windows from one day; 1 loss in 155 trades. Breakeven is about 2.5 losses per 155 trades, so the edge is not statistically established.</t>
  </si>
  <si>
    <t xml:space="preserve">Sensitivity sheet holds static outputs from the Python backtest; Summary and Trades are live formulas.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</si>
</sst>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.0000"/>
    <numFmt numFmtId="167" formatCode="0.00"/>
    <numFmt numFmtId="168" formatCode="0"/>
    <numFmt numFmtId="169" formatCode="0.00%"/>
    <numFmt numFmtId="170" formatCode="\$#,##0.00;&quot;($&quot;#,##0.00\);\-"/>
    <numFmt numFmtId="171" formatCode="0.0"/>
    <numFmt numFmtId="172" formatCode="yyyy\-mm\-dd\ hh:mm"/>
    <numFmt numFmtId="173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/>
      <c r="B1" s="2" t="s">
        <v>0</v>
      </c>
      <c r="C1" s="1"/>
      <c r="D1" s="1"/>
    </row>
    <row r="2" customFormat="false" ht="15" hidden="false" customHeight="false" outlineLevel="0" collapsed="false">
      <c r="A2" s="1"/>
      <c r="B2" s="3" t="s">
        <v>1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1"/>
      <c r="B4" s="4" t="s">
        <v>2</v>
      </c>
      <c r="C4" s="1"/>
      <c r="D4" s="1"/>
    </row>
    <row r="5" customFormat="false" ht="15" hidden="false" customHeight="false" outlineLevel="0" collapsed="false">
      <c r="A5" s="1"/>
      <c r="B5" s="5" t="s">
        <v>3</v>
      </c>
      <c r="C5" s="6" t="n">
        <v>0.07</v>
      </c>
      <c r="D5" s="1"/>
    </row>
    <row r="6" customFormat="false" ht="15" hidden="false" customHeight="false" outlineLevel="0" collapsed="false">
      <c r="A6" s="1"/>
      <c r="B6" s="5" t="s">
        <v>4</v>
      </c>
      <c r="C6" s="7" t="n">
        <v>0</v>
      </c>
      <c r="D6" s="1"/>
    </row>
    <row r="7" customFormat="false" ht="15" hidden="false" customHeight="false" outlineLevel="0" collapsed="false">
      <c r="A7" s="1"/>
      <c r="B7" s="5" t="s">
        <v>5</v>
      </c>
      <c r="C7" s="8" t="n">
        <v>1.96</v>
      </c>
      <c r="D7" s="1"/>
    </row>
    <row r="8" customFormat="false" ht="15" hidden="false" customHeight="false" outlineLevel="0" collapsed="false">
      <c r="A8" s="1"/>
      <c r="B8" s="5" t="s">
        <v>6</v>
      </c>
      <c r="C8" s="9" t="n">
        <v>288</v>
      </c>
      <c r="D8" s="1"/>
    </row>
    <row r="9" customFormat="false" ht="15" hidden="false" customHeight="false" outlineLevel="0" collapsed="false">
      <c r="A9" s="1"/>
      <c r="B9" s="1"/>
      <c r="C9" s="1"/>
      <c r="D9" s="1"/>
    </row>
    <row r="10" customFormat="false" ht="15" hidden="false" customHeight="false" outlineLevel="0" collapsed="false">
      <c r="A10" s="1"/>
      <c r="B10" s="4" t="s">
        <v>7</v>
      </c>
      <c r="C10" s="1"/>
      <c r="D10" s="1"/>
    </row>
    <row r="11" customFormat="false" ht="15" hidden="false" customHeight="false" outlineLevel="0" collapsed="false">
      <c r="A11" s="1"/>
      <c r="B11" s="5" t="s">
        <v>8</v>
      </c>
      <c r="C11" s="10" t="n">
        <f aca="false">COUNT(Trades!$A$2:$A$1000)</f>
        <v>155</v>
      </c>
      <c r="D11" s="1"/>
    </row>
    <row r="12" customFormat="false" ht="15" hidden="false" customHeight="false" outlineLevel="0" collapsed="false">
      <c r="A12" s="1"/>
      <c r="B12" s="5" t="s">
        <v>9</v>
      </c>
      <c r="C12" s="10" t="n">
        <f aca="false">C8-C11</f>
        <v>133</v>
      </c>
      <c r="D12" s="1"/>
    </row>
    <row r="13" customFormat="false" ht="15" hidden="false" customHeight="false" outlineLevel="0" collapsed="false">
      <c r="A13" s="1"/>
      <c r="B13" s="5" t="s">
        <v>10</v>
      </c>
      <c r="C13" s="10" t="n">
        <f aca="false">SUM(Trades!$J$2:$J$1000)</f>
        <v>154</v>
      </c>
      <c r="D13" s="1"/>
    </row>
    <row r="14" customFormat="false" ht="15" hidden="false" customHeight="false" outlineLevel="0" collapsed="false">
      <c r="A14" s="1"/>
      <c r="B14" s="5" t="s">
        <v>11</v>
      </c>
      <c r="C14" s="10" t="n">
        <f aca="false">C11-C13</f>
        <v>1</v>
      </c>
      <c r="D14" s="1"/>
    </row>
    <row r="15" customFormat="false" ht="15" hidden="false" customHeight="false" outlineLevel="0" collapsed="false">
      <c r="A15" s="1"/>
      <c r="B15" s="5" t="s">
        <v>12</v>
      </c>
      <c r="C15" s="11" t="n">
        <f aca="false">IF(C11=0,0,C13/C11)</f>
        <v>0.993548387096774</v>
      </c>
      <c r="D15" s="1"/>
    </row>
    <row r="16" customFormat="false" ht="15" hidden="false" customHeight="false" outlineLevel="0" collapsed="false">
      <c r="A16" s="1"/>
      <c r="B16" s="5" t="s">
        <v>13</v>
      </c>
      <c r="C16" s="11" t="n">
        <f aca="false">IF(C11=0,0,(C15+C7^2/(2*C11)-C7*SQRT(C15*(1-C15)/C11+C7^2/(4*C11^2)))/(1+C7^2/C11))</f>
        <v>0.964363487927048</v>
      </c>
      <c r="D16" s="1"/>
    </row>
    <row r="17" customFormat="false" ht="15" hidden="false" customHeight="false" outlineLevel="0" collapsed="false">
      <c r="A17" s="1"/>
      <c r="B17" s="5" t="s">
        <v>14</v>
      </c>
      <c r="C17" s="11" t="n">
        <f aca="false">IF(C11=0,0,(C15+C7^2/(2*C11)+C7*SQRT(C15*(1-C15)/C11+C7^2/(4*C11^2)))/(1+C7^2/C11))</f>
        <v>0.998860251949659</v>
      </c>
      <c r="D17" s="1"/>
    </row>
    <row r="18" customFormat="false" ht="15" hidden="false" customHeight="false" outlineLevel="0" collapsed="false">
      <c r="A18" s="1"/>
      <c r="B18" s="5" t="s">
        <v>15</v>
      </c>
      <c r="C18" s="12" t="n">
        <f aca="false">SUM(Trades!$H$2:$H$1000)/SUM(Trades!$G$2:$G$1000)</f>
        <v>0.983282139464289</v>
      </c>
      <c r="D18" s="1"/>
    </row>
    <row r="19" customFormat="false" ht="15" hidden="false" customHeight="false" outlineLevel="0" collapsed="false">
      <c r="A19" s="1"/>
      <c r="B19" s="5" t="s">
        <v>16</v>
      </c>
      <c r="C19" s="11" t="n">
        <f aca="false">C18+(SUM(Trades!$L$2:$L$1000))/SUM(Trades!$G$2:$G$1000)</f>
        <v>0.984431282194664</v>
      </c>
      <c r="D19" s="1"/>
    </row>
    <row r="20" customFormat="false" ht="15" hidden="false" customHeight="false" outlineLevel="0" collapsed="false">
      <c r="A20" s="1"/>
      <c r="B20" s="5" t="s">
        <v>17</v>
      </c>
      <c r="C20" s="13" t="n">
        <f aca="false">SUM(Trades!$H$2:$H$1000)</f>
        <v>3052.29619961262</v>
      </c>
      <c r="D20" s="1"/>
    </row>
    <row r="21" customFormat="false" ht="15" hidden="false" customHeight="false" outlineLevel="0" collapsed="false">
      <c r="A21" s="1"/>
      <c r="B21" s="5" t="s">
        <v>18</v>
      </c>
      <c r="C21" s="13" t="n">
        <f aca="false">SUM(Trades!$K$2:$K$1000)</f>
        <v>31.4872796912842</v>
      </c>
      <c r="D21" s="1"/>
    </row>
    <row r="22" customFormat="false" ht="15" hidden="false" customHeight="false" outlineLevel="0" collapsed="false">
      <c r="A22" s="1"/>
      <c r="B22" s="5" t="s">
        <v>19</v>
      </c>
      <c r="C22" s="13" t="n">
        <f aca="false">SUM(Trades!$L$2:$L$1000)</f>
        <v>3.56715925974845</v>
      </c>
      <c r="D22" s="1"/>
    </row>
    <row r="23" customFormat="false" ht="15" hidden="false" customHeight="false" outlineLevel="0" collapsed="false">
      <c r="A23" s="1"/>
      <c r="B23" s="5" t="s">
        <v>20</v>
      </c>
      <c r="C23" s="13" t="n">
        <f aca="false">C21-C22</f>
        <v>27.9201204315357</v>
      </c>
      <c r="D23" s="1"/>
    </row>
    <row r="24" customFormat="false" ht="15" hidden="false" customHeight="false" outlineLevel="0" collapsed="false">
      <c r="A24" s="1"/>
      <c r="B24" s="5" t="s">
        <v>21</v>
      </c>
      <c r="C24" s="13" t="n">
        <f aca="false">IF(C11=0,0,C23/C11)</f>
        <v>0.180129809235714</v>
      </c>
      <c r="D24" s="1"/>
    </row>
    <row r="25" customFormat="false" ht="15" hidden="false" customHeight="false" outlineLevel="0" collapsed="false">
      <c r="A25" s="1"/>
      <c r="B25" s="5" t="s">
        <v>22</v>
      </c>
      <c r="C25" s="11" t="n">
        <f aca="false">IF(C20=0,0,C23/C20)</f>
        <v>0.00914725131691978</v>
      </c>
      <c r="D25" s="1"/>
    </row>
    <row r="26" customFormat="false" ht="15" hidden="false" customHeight="false" outlineLevel="0" collapsed="false">
      <c r="A26" s="1"/>
      <c r="B26" s="5" t="s">
        <v>23</v>
      </c>
      <c r="C26" s="13" t="n">
        <f aca="false">IFERROR(SUMIFS(Trades!$M$2:$M$1000,Trades!$J$2:$J$1000,1)/C13,0)</f>
        <v>0.311351431373609</v>
      </c>
      <c r="D26" s="1"/>
    </row>
    <row r="27" customFormat="false" ht="15" hidden="false" customHeight="false" outlineLevel="0" collapsed="false">
      <c r="A27" s="1"/>
      <c r="B27" s="5" t="s">
        <v>24</v>
      </c>
      <c r="C27" s="13" t="n">
        <f aca="false">IFERROR(SUMIFS(Trades!$M$2:$M$1000,Trades!$J$2:$J$1000,0)/C14,0)</f>
        <v>-20.028</v>
      </c>
      <c r="D27" s="1"/>
    </row>
    <row r="28" customFormat="false" ht="15" hidden="false" customHeight="false" outlineLevel="0" collapsed="false">
      <c r="A28" s="1"/>
      <c r="B28" s="5" t="s">
        <v>25</v>
      </c>
      <c r="C28" s="14" t="n">
        <f aca="false">IFERROR(-C27/C26,0)</f>
        <v>64.3260251338534</v>
      </c>
      <c r="D28" s="1"/>
    </row>
    <row r="29" customFormat="false" ht="15" hidden="false" customHeight="false" outlineLevel="0" collapsed="false">
      <c r="A29" s="1"/>
      <c r="B29" s="5" t="s">
        <v>26</v>
      </c>
      <c r="C29" s="15" t="n">
        <f aca="false">IFERROR(C11*C26/(C26-C27),0)</f>
        <v>2.37271439188905</v>
      </c>
      <c r="D29" s="1"/>
    </row>
    <row r="30" customFormat="false" ht="15" hidden="false" customHeight="false" outlineLevel="0" collapsed="false">
      <c r="A30" s="1"/>
      <c r="B30" s="5" t="s">
        <v>27</v>
      </c>
      <c r="C30" s="11" t="n">
        <f aca="false">IFERROR(C29/C11,0)</f>
        <v>0.015307834786381</v>
      </c>
      <c r="D30" s="1"/>
    </row>
    <row r="31" customFormat="false" ht="15" hidden="false" customHeight="false" outlineLevel="0" collapsed="false">
      <c r="A31" s="1"/>
      <c r="B31" s="5" t="s">
        <v>28</v>
      </c>
      <c r="C31" s="13" t="n">
        <f aca="false">MIN(Trades!$P$2:$P$1000)</f>
        <v>-20.028</v>
      </c>
      <c r="D31" s="1"/>
    </row>
    <row r="32" customFormat="false" ht="15" hidden="false" customHeight="false" outlineLevel="0" collapsed="false">
      <c r="A32" s="1"/>
      <c r="B32" s="5" t="s">
        <v>29</v>
      </c>
      <c r="C32" s="14" t="n">
        <f aca="false">AVERAGE(Trades!$N$2:$N$1000)</f>
        <v>19.2935483870968</v>
      </c>
      <c r="D32" s="1"/>
    </row>
    <row r="33" customFormat="false" ht="15" hidden="false" customHeight="false" outlineLevel="0" collapsed="false">
      <c r="A33" s="1"/>
      <c r="B33" s="5" t="s">
        <v>30</v>
      </c>
      <c r="C33" s="10" t="n">
        <f aca="false">COUNTIF(Trades!$D$2:$D$1000,"Up")</f>
        <v>85</v>
      </c>
      <c r="D33" s="1"/>
    </row>
    <row r="34" customFormat="false" ht="15" hidden="false" customHeight="false" outlineLevel="0" collapsed="false">
      <c r="A34" s="1"/>
      <c r="B34" s="5" t="s">
        <v>31</v>
      </c>
      <c r="C34" s="10" t="n">
        <f aca="false">COUNTIF(Trades!$D$2:$D$1000,"Down")</f>
        <v>70</v>
      </c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4" t="s">
        <v>32</v>
      </c>
      <c r="C36" s="1"/>
      <c r="D36" s="1"/>
    </row>
    <row r="37" customFormat="false" ht="15" hidden="false" customHeight="false" outlineLevel="0" collapsed="false">
      <c r="A37" s="1"/>
      <c r="B37" s="16" t="s">
        <v>33</v>
      </c>
      <c r="C37" s="16" t="s">
        <v>20</v>
      </c>
      <c r="D37" s="1"/>
    </row>
    <row r="38" customFormat="false" ht="15" hidden="false" customHeight="false" outlineLevel="0" collapsed="false">
      <c r="A38" s="1"/>
      <c r="B38" s="17" t="n">
        <v>0</v>
      </c>
      <c r="C38" s="13" t="n">
        <f aca="false">(C$11-B38)*C$26+B38*C$27</f>
        <v>48.2594718629093</v>
      </c>
      <c r="D38" s="1"/>
    </row>
    <row r="39" customFormat="false" ht="15" hidden="false" customHeight="false" outlineLevel="0" collapsed="false">
      <c r="A39" s="1"/>
      <c r="B39" s="17" t="n">
        <v>1</v>
      </c>
      <c r="C39" s="13" t="n">
        <f aca="false">(C$11-B39)*C$26+B39*C$27</f>
        <v>27.9201204315357</v>
      </c>
      <c r="D39" s="1"/>
    </row>
    <row r="40" customFormat="false" ht="15" hidden="false" customHeight="false" outlineLevel="0" collapsed="false">
      <c r="A40" s="1"/>
      <c r="B40" s="17" t="n">
        <v>2</v>
      </c>
      <c r="C40" s="13" t="n">
        <f aca="false">(C$11-B40)*C$26+B40*C$27</f>
        <v>7.58076900016214</v>
      </c>
      <c r="D40" s="1"/>
    </row>
    <row r="41" customFormat="false" ht="15" hidden="false" customHeight="false" outlineLevel="0" collapsed="false">
      <c r="A41" s="1"/>
      <c r="B41" s="17" t="n">
        <v>3</v>
      </c>
      <c r="C41" s="13" t="n">
        <f aca="false">(C$11-B41)*C$26+B41*C$27</f>
        <v>-12.7585824312115</v>
      </c>
      <c r="D41" s="1"/>
    </row>
    <row r="42" customFormat="false" ht="15" hidden="false" customHeight="false" outlineLevel="0" collapsed="false">
      <c r="A42" s="1"/>
      <c r="B42" s="17" t="n">
        <v>4</v>
      </c>
      <c r="C42" s="13" t="n">
        <f aca="false">(C$11-B42)*C$26+B42*C$27</f>
        <v>-33.0979338625851</v>
      </c>
      <c r="D42" s="1"/>
    </row>
    <row r="43" customFormat="false" ht="15" hidden="false" customHeight="false" outlineLevel="0" collapsed="false">
      <c r="A43" s="1"/>
      <c r="B43" s="17" t="n">
        <v>5</v>
      </c>
      <c r="C43" s="13" t="n">
        <f aca="false">(C$11-B43)*C$26+B43*C$27</f>
        <v>-53.4372852939587</v>
      </c>
      <c r="D43" s="1"/>
    </row>
    <row r="44" customFormat="false" ht="15" hidden="false" customHeight="false" outlineLevel="0" collapsed="false">
      <c r="A44" s="1"/>
      <c r="B44" s="17" t="n">
        <v>6</v>
      </c>
      <c r="C44" s="13" t="n">
        <f aca="false">(C$11-B44)*C$26+B44*C$27</f>
        <v>-73.7766367253323</v>
      </c>
      <c r="D44" s="1"/>
    </row>
    <row r="45" customFormat="false" ht="15" hidden="false" customHeight="false" outlineLevel="0" collapsed="false">
      <c r="A45" s="1"/>
      <c r="B45" s="1"/>
      <c r="C45" s="1"/>
      <c r="D45" s="1"/>
    </row>
    <row r="46" customFormat="false" ht="15" hidden="false" customHeight="false" outlineLevel="0" collapsed="false">
      <c r="A46" s="1"/>
      <c r="B46" s="4" t="s">
        <v>34</v>
      </c>
      <c r="C46" s="1"/>
      <c r="D46" s="1"/>
    </row>
    <row r="47" customFormat="false" ht="15" hidden="false" customHeight="false" outlineLevel="0" collapsed="false">
      <c r="A47" s="1"/>
      <c r="B47" s="16" t="s">
        <v>35</v>
      </c>
      <c r="C47" s="16" t="s">
        <v>20</v>
      </c>
      <c r="D47" s="16" t="s">
        <v>36</v>
      </c>
    </row>
    <row r="48" customFormat="false" ht="15" hidden="false" customHeight="false" outlineLevel="0" collapsed="false">
      <c r="A48" s="1"/>
      <c r="B48" s="5" t="s">
        <v>37</v>
      </c>
      <c r="C48" s="13" t="n">
        <f aca="false">SUM(Trades!$K$2:$K$1000)-D48*SUMPRODUCT(Trades!$G$2:$G$1000,Trades!$F$2:$F$1000,1-Trades!$F$2:$F$1000)</f>
        <v>31.4872796912842</v>
      </c>
      <c r="D48" s="18" t="n">
        <v>0</v>
      </c>
    </row>
    <row r="49" customFormat="false" ht="15" hidden="false" customHeight="false" outlineLevel="0" collapsed="false">
      <c r="A49" s="1"/>
      <c r="B49" s="5" t="s">
        <v>38</v>
      </c>
      <c r="C49" s="13" t="n">
        <f aca="false">SUM(Trades!$K$2:$K$1000)-D49*SUMPRODUCT(Trades!$G$2:$G$1000,Trades!$F$2:$F$1000,1-Trades!$F$2:$F$1000)</f>
        <v>27.9201204315357</v>
      </c>
      <c r="D49" s="18" t="n">
        <v>0.07</v>
      </c>
    </row>
    <row r="50" customFormat="false" ht="15" hidden="false" customHeight="false" outlineLevel="0" collapsed="false">
      <c r="A50" s="1"/>
      <c r="B50" s="5" t="s">
        <v>39</v>
      </c>
      <c r="C50" s="13" t="n">
        <f aca="false">SUM(Trades!$K$2:$K$1000)-D50*SUMPRODUCT(Trades!$G$2:$G$1000,Trades!$F$2:$F$1000,1-Trades!$F$2:$F$1000)</f>
        <v>27.8182015955429</v>
      </c>
      <c r="D50" s="18" t="n">
        <v>0.072</v>
      </c>
    </row>
    <row r="51" customFormat="false" ht="15" hidden="false" customHeight="false" outlineLevel="0" collapsed="false">
      <c r="A51" s="1"/>
      <c r="B51" s="5" t="s">
        <v>40</v>
      </c>
      <c r="C51" s="13" t="n">
        <f aca="false">SUM(Trades!$K$2:$K$1000)-D51*SUM(Trades!$G$2:$G$1000)</f>
        <v>15.9663214784382</v>
      </c>
      <c r="D51" s="18" t="n">
        <v>0.005</v>
      </c>
    </row>
    <row r="52" customFormat="false" ht="15" hidden="false" customHeight="false" outlineLevel="0" collapsed="false">
      <c r="A52" s="1"/>
      <c r="B52" s="5" t="s">
        <v>41</v>
      </c>
      <c r="C52" s="13" t="n">
        <f aca="false">SUM(Trades!$K$2:$K$1000)-D52*SUM(Trades!$G$2:$G$1000)</f>
        <v>0.445363265592118</v>
      </c>
      <c r="D52" s="18" t="n">
        <v>0.01</v>
      </c>
    </row>
    <row r="53" customFormat="false" ht="15" hidden="false" customHeight="false" outlineLevel="0" collapsed="false">
      <c r="A53" s="1"/>
      <c r="B53" s="19" t="s">
        <v>42</v>
      </c>
      <c r="C53" s="1"/>
      <c r="D5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7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20" t="s">
        <v>43</v>
      </c>
      <c r="B1" s="20" t="s">
        <v>44</v>
      </c>
      <c r="C1" s="20" t="s">
        <v>45</v>
      </c>
      <c r="D1" s="20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0" t="s">
        <v>52</v>
      </c>
      <c r="K1" s="20" t="s">
        <v>18</v>
      </c>
      <c r="L1" s="20" t="s">
        <v>53</v>
      </c>
      <c r="M1" s="20" t="s">
        <v>20</v>
      </c>
      <c r="N1" s="20" t="s">
        <v>54</v>
      </c>
      <c r="O1" s="20" t="s">
        <v>55</v>
      </c>
      <c r="P1" s="20" t="s">
        <v>56</v>
      </c>
      <c r="Q1" s="1"/>
      <c r="R1" s="3" t="s">
        <v>57</v>
      </c>
    </row>
    <row r="2" customFormat="false" ht="15" hidden="false" customHeight="false" outlineLevel="0" collapsed="false">
      <c r="A2" s="17" t="n">
        <v>1</v>
      </c>
      <c r="B2" s="17" t="s">
        <v>58</v>
      </c>
      <c r="C2" s="21" t="n">
        <v>46188.0069444445</v>
      </c>
      <c r="D2" s="17" t="s">
        <v>59</v>
      </c>
      <c r="E2" s="18" t="n">
        <v>0.98</v>
      </c>
      <c r="F2" s="18" t="n">
        <v>0.98</v>
      </c>
      <c r="G2" s="22" t="n">
        <v>20.4081632653061</v>
      </c>
      <c r="H2" s="13" t="n">
        <f aca="false">G2*F2</f>
        <v>20</v>
      </c>
      <c r="I2" s="17" t="s">
        <v>59</v>
      </c>
      <c r="J2" s="5" t="n">
        <f aca="false">IF(D2=I2,1,0)</f>
        <v>1</v>
      </c>
      <c r="K2" s="13" t="n">
        <f aca="false">J2*G2-H2</f>
        <v>0.408163265306122</v>
      </c>
      <c r="L2" s="13" t="n">
        <f aca="false">G2*Summary!$C$5*F2*(1-F2)+G2*Summary!$C$6</f>
        <v>0.028</v>
      </c>
      <c r="M2" s="13" t="n">
        <f aca="false">K2-L2</f>
        <v>0.380163265306122</v>
      </c>
      <c r="N2" s="23" t="n">
        <v>30</v>
      </c>
      <c r="O2" s="13" t="n">
        <f aca="false">SUMIFS($M$2:$M$1000,$C$2:$C$1000,"&lt;="&amp;C2)</f>
        <v>0.380163265306122</v>
      </c>
      <c r="P2" s="13" t="n">
        <f aca="false">O2-_xlfn.MAXIFS($O$2:$O$1000,$C$2:$C$1000,"&lt;="&amp;C2)</f>
        <v>0</v>
      </c>
      <c r="Q2" s="1"/>
      <c r="R2" s="1"/>
    </row>
    <row r="3" customFormat="false" ht="15" hidden="false" customHeight="false" outlineLevel="0" collapsed="false">
      <c r="A3" s="17" t="n">
        <v>4</v>
      </c>
      <c r="B3" s="17" t="s">
        <v>60</v>
      </c>
      <c r="C3" s="21" t="n">
        <v>46188.0173611111</v>
      </c>
      <c r="D3" s="17" t="s">
        <v>61</v>
      </c>
      <c r="E3" s="18" t="n">
        <v>0.99</v>
      </c>
      <c r="F3" s="18" t="n">
        <v>0.99</v>
      </c>
      <c r="G3" s="22" t="n">
        <v>20.2020202020202</v>
      </c>
      <c r="H3" s="13" t="n">
        <f aca="false">G3*F3</f>
        <v>20</v>
      </c>
      <c r="I3" s="17" t="s">
        <v>61</v>
      </c>
      <c r="J3" s="5" t="n">
        <f aca="false">IF(D3=I3,1,0)</f>
        <v>1</v>
      </c>
      <c r="K3" s="13" t="n">
        <f aca="false">J3*G3-H3</f>
        <v>0.202020202020201</v>
      </c>
      <c r="L3" s="13" t="n">
        <f aca="false">G3*Summary!$C$5*F3*(1-F3)+G3*Summary!$C$6</f>
        <v>0.0139999999999999</v>
      </c>
      <c r="M3" s="13" t="n">
        <f aca="false">K3-L3</f>
        <v>0.188020202020201</v>
      </c>
      <c r="N3" s="23" t="n">
        <v>7.5</v>
      </c>
      <c r="O3" s="13" t="n">
        <f aca="false">SUMIFS($M$2:$M$1000,$C$2:$C$1000,"&lt;="&amp;C3)</f>
        <v>0.568183467326323</v>
      </c>
      <c r="P3" s="13" t="n">
        <f aca="false">O3-_xlfn.MAXIFS($O$2:$O$1000,$C$2:$C$1000,"&lt;="&amp;C3)</f>
        <v>0</v>
      </c>
      <c r="Q3" s="1"/>
      <c r="R3" s="1"/>
    </row>
    <row r="4" customFormat="false" ht="15" hidden="false" customHeight="false" outlineLevel="0" collapsed="false">
      <c r="A4" s="17" t="n">
        <v>5</v>
      </c>
      <c r="B4" s="17" t="s">
        <v>62</v>
      </c>
      <c r="C4" s="21" t="n">
        <v>46188.0208333333</v>
      </c>
      <c r="D4" s="17" t="s">
        <v>59</v>
      </c>
      <c r="E4" s="18" t="n">
        <v>0.99</v>
      </c>
      <c r="F4" s="18" t="n">
        <v>0.99</v>
      </c>
      <c r="G4" s="22" t="n">
        <v>20.2020202020202</v>
      </c>
      <c r="H4" s="13" t="n">
        <f aca="false">G4*F4</f>
        <v>20</v>
      </c>
      <c r="I4" s="17" t="s">
        <v>59</v>
      </c>
      <c r="J4" s="5" t="n">
        <f aca="false">IF(D4=I4,1,0)</f>
        <v>1</v>
      </c>
      <c r="K4" s="13" t="n">
        <f aca="false">J4*G4-H4</f>
        <v>0.202020202020201</v>
      </c>
      <c r="L4" s="13" t="n">
        <f aca="false">G4*Summary!$C$5*F4*(1-F4)+G4*Summary!$C$6</f>
        <v>0.0139999999999999</v>
      </c>
      <c r="M4" s="13" t="n">
        <f aca="false">K4-L4</f>
        <v>0.188020202020201</v>
      </c>
      <c r="N4" s="23" t="n">
        <v>30</v>
      </c>
      <c r="O4" s="13" t="n">
        <f aca="false">SUMIFS($M$2:$M$1000,$C$2:$C$1000,"&lt;="&amp;C4)</f>
        <v>0.756203669346524</v>
      </c>
      <c r="P4" s="13" t="n">
        <f aca="false">O4-_xlfn.MAXIFS($O$2:$O$1000,$C$2:$C$1000,"&lt;="&amp;C4)</f>
        <v>0</v>
      </c>
      <c r="Q4" s="1"/>
      <c r="R4" s="1"/>
    </row>
    <row r="5" customFormat="false" ht="15" hidden="false" customHeight="false" outlineLevel="0" collapsed="false">
      <c r="A5" s="17" t="n">
        <v>8</v>
      </c>
      <c r="B5" s="17" t="s">
        <v>63</v>
      </c>
      <c r="C5" s="21" t="n">
        <v>46188.03125</v>
      </c>
      <c r="D5" s="17" t="s">
        <v>59</v>
      </c>
      <c r="E5" s="18" t="n">
        <v>0.98</v>
      </c>
      <c r="F5" s="18" t="n">
        <v>0.98</v>
      </c>
      <c r="G5" s="22" t="n">
        <v>20.4081632653061</v>
      </c>
      <c r="H5" s="13" t="n">
        <f aca="false">G5*F5</f>
        <v>20</v>
      </c>
      <c r="I5" s="17" t="s">
        <v>59</v>
      </c>
      <c r="J5" s="5" t="n">
        <f aca="false">IF(D5=I5,1,0)</f>
        <v>1</v>
      </c>
      <c r="K5" s="13" t="n">
        <f aca="false">J5*G5-H5</f>
        <v>0.408163265306122</v>
      </c>
      <c r="L5" s="13" t="n">
        <f aca="false">G5*Summary!$C$5*F5*(1-F5)+G5*Summary!$C$6</f>
        <v>0.028</v>
      </c>
      <c r="M5" s="13" t="n">
        <f aca="false">K5-L5</f>
        <v>0.380163265306122</v>
      </c>
      <c r="N5" s="23" t="n">
        <v>3</v>
      </c>
      <c r="O5" s="13" t="n">
        <f aca="false">SUMIFS($M$2:$M$1000,$C$2:$C$1000,"&lt;="&amp;C5)</f>
        <v>1.13636693465265</v>
      </c>
      <c r="P5" s="13" t="n">
        <f aca="false">O5-_xlfn.MAXIFS($O$2:$O$1000,$C$2:$C$1000,"&lt;="&amp;C5)</f>
        <v>0</v>
      </c>
      <c r="Q5" s="1"/>
      <c r="R5" s="1"/>
    </row>
    <row r="6" customFormat="false" ht="15" hidden="false" customHeight="false" outlineLevel="0" collapsed="false">
      <c r="A6" s="17" t="n">
        <v>9</v>
      </c>
      <c r="B6" s="17" t="s">
        <v>64</v>
      </c>
      <c r="C6" s="21" t="n">
        <v>46188.0347222222</v>
      </c>
      <c r="D6" s="17" t="s">
        <v>59</v>
      </c>
      <c r="E6" s="18" t="n">
        <v>0.98</v>
      </c>
      <c r="F6" s="18" t="n">
        <v>0.98</v>
      </c>
      <c r="G6" s="22" t="n">
        <v>20.4081632653061</v>
      </c>
      <c r="H6" s="13" t="n">
        <f aca="false">G6*F6</f>
        <v>20</v>
      </c>
      <c r="I6" s="17" t="s">
        <v>59</v>
      </c>
      <c r="J6" s="5" t="n">
        <f aca="false">IF(D6=I6,1,0)</f>
        <v>1</v>
      </c>
      <c r="K6" s="13" t="n">
        <f aca="false">J6*G6-H6</f>
        <v>0.408163265306122</v>
      </c>
      <c r="L6" s="13" t="n">
        <f aca="false">G6*Summary!$C$5*F6*(1-F6)+G6*Summary!$C$6</f>
        <v>0.028</v>
      </c>
      <c r="M6" s="13" t="n">
        <f aca="false">K6-L6</f>
        <v>0.380163265306122</v>
      </c>
      <c r="N6" s="23" t="n">
        <v>8.5</v>
      </c>
      <c r="O6" s="13" t="n">
        <f aca="false">SUMIFS($M$2:$M$1000,$C$2:$C$1000,"&lt;="&amp;C6)</f>
        <v>1.51653019995877</v>
      </c>
      <c r="P6" s="13" t="n">
        <f aca="false">O6-_xlfn.MAXIFS($O$2:$O$1000,$C$2:$C$1000,"&lt;="&amp;C6)</f>
        <v>0</v>
      </c>
      <c r="Q6" s="1"/>
      <c r="R6" s="1"/>
    </row>
    <row r="7" customFormat="false" ht="15" hidden="false" customHeight="false" outlineLevel="0" collapsed="false">
      <c r="A7" s="17" t="n">
        <v>10</v>
      </c>
      <c r="B7" s="17" t="s">
        <v>65</v>
      </c>
      <c r="C7" s="21" t="n">
        <v>46188.0381944445</v>
      </c>
      <c r="D7" s="17" t="s">
        <v>59</v>
      </c>
      <c r="E7" s="18" t="n">
        <v>0.98</v>
      </c>
      <c r="F7" s="18" t="n">
        <v>0.98</v>
      </c>
      <c r="G7" s="22" t="n">
        <v>20.4081632653061</v>
      </c>
      <c r="H7" s="13" t="n">
        <f aca="false">G7*F7</f>
        <v>20</v>
      </c>
      <c r="I7" s="17" t="s">
        <v>59</v>
      </c>
      <c r="J7" s="5" t="n">
        <f aca="false">IF(D7=I7,1,0)</f>
        <v>1</v>
      </c>
      <c r="K7" s="13" t="n">
        <f aca="false">J7*G7-H7</f>
        <v>0.408163265306122</v>
      </c>
      <c r="L7" s="13" t="n">
        <f aca="false">G7*Summary!$C$5*F7*(1-F7)+G7*Summary!$C$6</f>
        <v>0.028</v>
      </c>
      <c r="M7" s="13" t="n">
        <f aca="false">K7-L7</f>
        <v>0.380163265306122</v>
      </c>
      <c r="N7" s="23" t="n">
        <v>17.5</v>
      </c>
      <c r="O7" s="13" t="n">
        <f aca="false">SUMIFS($M$2:$M$1000,$C$2:$C$1000,"&lt;="&amp;C7)</f>
        <v>1.89669346526489</v>
      </c>
      <c r="P7" s="13" t="n">
        <f aca="false">O7-_xlfn.MAXIFS($O$2:$O$1000,$C$2:$C$1000,"&lt;="&amp;C7)</f>
        <v>0</v>
      </c>
      <c r="Q7" s="1"/>
      <c r="R7" s="1"/>
    </row>
    <row r="8" customFormat="false" ht="15" hidden="false" customHeight="false" outlineLevel="0" collapsed="false">
      <c r="A8" s="17" t="n">
        <v>11</v>
      </c>
      <c r="B8" s="17" t="s">
        <v>66</v>
      </c>
      <c r="C8" s="21" t="n">
        <v>46188.0416666667</v>
      </c>
      <c r="D8" s="17" t="s">
        <v>59</v>
      </c>
      <c r="E8" s="18" t="n">
        <v>0.98</v>
      </c>
      <c r="F8" s="18" t="n">
        <v>0.98</v>
      </c>
      <c r="G8" s="22" t="n">
        <v>20.4081632653061</v>
      </c>
      <c r="H8" s="13" t="n">
        <f aca="false">G8*F8</f>
        <v>20</v>
      </c>
      <c r="I8" s="17" t="s">
        <v>59</v>
      </c>
      <c r="J8" s="5" t="n">
        <f aca="false">IF(D8=I8,1,0)</f>
        <v>1</v>
      </c>
      <c r="K8" s="13" t="n">
        <f aca="false">J8*G8-H8</f>
        <v>0.408163265306122</v>
      </c>
      <c r="L8" s="13" t="n">
        <f aca="false">G8*Summary!$C$5*F8*(1-F8)+G8*Summary!$C$6</f>
        <v>0.028</v>
      </c>
      <c r="M8" s="13" t="n">
        <f aca="false">K8-L8</f>
        <v>0.380163265306122</v>
      </c>
      <c r="N8" s="23" t="n">
        <v>30</v>
      </c>
      <c r="O8" s="13" t="n">
        <f aca="false">SUMIFS($M$2:$M$1000,$C$2:$C$1000,"&lt;="&amp;C8)</f>
        <v>2.27685673057101</v>
      </c>
      <c r="P8" s="13" t="n">
        <f aca="false">O8-_xlfn.MAXIFS($O$2:$O$1000,$C$2:$C$1000,"&lt;="&amp;C8)</f>
        <v>0</v>
      </c>
      <c r="Q8" s="1"/>
      <c r="R8" s="1"/>
    </row>
    <row r="9" customFormat="false" ht="15" hidden="false" customHeight="false" outlineLevel="0" collapsed="false">
      <c r="A9" s="17" t="n">
        <v>14</v>
      </c>
      <c r="B9" s="17" t="s">
        <v>67</v>
      </c>
      <c r="C9" s="21" t="n">
        <v>46188.0520833333</v>
      </c>
      <c r="D9" s="17" t="s">
        <v>59</v>
      </c>
      <c r="E9" s="18" t="n">
        <v>0.98</v>
      </c>
      <c r="F9" s="18" t="n">
        <v>0.98</v>
      </c>
      <c r="G9" s="22" t="n">
        <v>20.4081632653061</v>
      </c>
      <c r="H9" s="13" t="n">
        <f aca="false">G9*F9</f>
        <v>20</v>
      </c>
      <c r="I9" s="17" t="s">
        <v>59</v>
      </c>
      <c r="J9" s="5" t="n">
        <f aca="false">IF(D9=I9,1,0)</f>
        <v>1</v>
      </c>
      <c r="K9" s="13" t="n">
        <f aca="false">J9*G9-H9</f>
        <v>0.408163265306122</v>
      </c>
      <c r="L9" s="13" t="n">
        <f aca="false">G9*Summary!$C$5*F9*(1-F9)+G9*Summary!$C$6</f>
        <v>0.028</v>
      </c>
      <c r="M9" s="13" t="n">
        <f aca="false">K9-L9</f>
        <v>0.380163265306122</v>
      </c>
      <c r="N9" s="23" t="n">
        <v>19.5</v>
      </c>
      <c r="O9" s="13" t="n">
        <f aca="false">SUMIFS($M$2:$M$1000,$C$2:$C$1000,"&lt;="&amp;C9)</f>
        <v>2.65701999587713</v>
      </c>
      <c r="P9" s="13" t="n">
        <f aca="false">O9-_xlfn.MAXIFS($O$2:$O$1000,$C$2:$C$1000,"&lt;="&amp;C9)</f>
        <v>0</v>
      </c>
      <c r="Q9" s="1"/>
      <c r="R9" s="1"/>
    </row>
    <row r="10" customFormat="false" ht="15" hidden="false" customHeight="false" outlineLevel="0" collapsed="false">
      <c r="A10" s="17" t="n">
        <v>15</v>
      </c>
      <c r="B10" s="17" t="s">
        <v>68</v>
      </c>
      <c r="C10" s="21" t="n">
        <v>46188.0555555556</v>
      </c>
      <c r="D10" s="17" t="s">
        <v>61</v>
      </c>
      <c r="E10" s="18" t="n">
        <v>0.98</v>
      </c>
      <c r="F10" s="18" t="n">
        <v>0.98</v>
      </c>
      <c r="G10" s="22" t="n">
        <v>20.4081632653061</v>
      </c>
      <c r="H10" s="13" t="n">
        <f aca="false">G10*F10</f>
        <v>20</v>
      </c>
      <c r="I10" s="17" t="s">
        <v>61</v>
      </c>
      <c r="J10" s="5" t="n">
        <f aca="false">IF(D10=I10,1,0)</f>
        <v>1</v>
      </c>
      <c r="K10" s="13" t="n">
        <f aca="false">J10*G10-H10</f>
        <v>0.408163265306122</v>
      </c>
      <c r="L10" s="13" t="n">
        <f aca="false">G10*Summary!$C$5*F10*(1-F10)+G10*Summary!$C$6</f>
        <v>0.028</v>
      </c>
      <c r="M10" s="13" t="n">
        <f aca="false">K10-L10</f>
        <v>0.380163265306122</v>
      </c>
      <c r="N10" s="23" t="n">
        <v>10</v>
      </c>
      <c r="O10" s="13" t="n">
        <f aca="false">SUMIFS($M$2:$M$1000,$C$2:$C$1000,"&lt;="&amp;C10)</f>
        <v>3.03718326118326</v>
      </c>
      <c r="P10" s="13" t="n">
        <f aca="false">O10-_xlfn.MAXIFS($O$2:$O$1000,$C$2:$C$1000,"&lt;="&amp;C10)</f>
        <v>0</v>
      </c>
      <c r="Q10" s="1"/>
      <c r="R10" s="1"/>
    </row>
    <row r="11" customFormat="false" ht="15" hidden="false" customHeight="false" outlineLevel="0" collapsed="false">
      <c r="A11" s="17" t="n">
        <v>16</v>
      </c>
      <c r="B11" s="17" t="s">
        <v>69</v>
      </c>
      <c r="C11" s="21" t="n">
        <v>46188.0590277778</v>
      </c>
      <c r="D11" s="17" t="s">
        <v>61</v>
      </c>
      <c r="E11" s="18" t="n">
        <v>0.98</v>
      </c>
      <c r="F11" s="18" t="n">
        <v>0.98</v>
      </c>
      <c r="G11" s="22" t="n">
        <v>20.4081632653061</v>
      </c>
      <c r="H11" s="13" t="n">
        <f aca="false">G11*F11</f>
        <v>20</v>
      </c>
      <c r="I11" s="17" t="s">
        <v>61</v>
      </c>
      <c r="J11" s="5" t="n">
        <f aca="false">IF(D11=I11,1,0)</f>
        <v>1</v>
      </c>
      <c r="K11" s="13" t="n">
        <f aca="false">J11*G11-H11</f>
        <v>0.408163265306122</v>
      </c>
      <c r="L11" s="13" t="n">
        <f aca="false">G11*Summary!$C$5*F11*(1-F11)+G11*Summary!$C$6</f>
        <v>0.028</v>
      </c>
      <c r="M11" s="13" t="n">
        <f aca="false">K11-L11</f>
        <v>0.380163265306122</v>
      </c>
      <c r="N11" s="23" t="n">
        <v>30</v>
      </c>
      <c r="O11" s="13" t="n">
        <f aca="false">SUMIFS($M$2:$M$1000,$C$2:$C$1000,"&lt;="&amp;C11)</f>
        <v>3.41734652648938</v>
      </c>
      <c r="P11" s="13" t="n">
        <f aca="false">O11-_xlfn.MAXIFS($O$2:$O$1000,$C$2:$C$1000,"&lt;="&amp;C11)</f>
        <v>0</v>
      </c>
      <c r="Q11" s="1"/>
      <c r="R11" s="1"/>
    </row>
    <row r="12" customFormat="false" ht="15" hidden="false" customHeight="false" outlineLevel="0" collapsed="false">
      <c r="A12" s="17" t="n">
        <v>17</v>
      </c>
      <c r="B12" s="17" t="s">
        <v>70</v>
      </c>
      <c r="C12" s="21" t="n">
        <v>46188.0625</v>
      </c>
      <c r="D12" s="17" t="s">
        <v>61</v>
      </c>
      <c r="E12" s="18" t="n">
        <v>0.98</v>
      </c>
      <c r="F12" s="18" t="n">
        <v>0.98</v>
      </c>
      <c r="G12" s="22" t="n">
        <v>20.4081632653061</v>
      </c>
      <c r="H12" s="13" t="n">
        <f aca="false">G12*F12</f>
        <v>20</v>
      </c>
      <c r="I12" s="17" t="s">
        <v>61</v>
      </c>
      <c r="J12" s="5" t="n">
        <f aca="false">IF(D12=I12,1,0)</f>
        <v>1</v>
      </c>
      <c r="K12" s="13" t="n">
        <f aca="false">J12*G12-H12</f>
        <v>0.408163265306122</v>
      </c>
      <c r="L12" s="13" t="n">
        <f aca="false">G12*Summary!$C$5*F12*(1-F12)+G12*Summary!$C$6</f>
        <v>0.028</v>
      </c>
      <c r="M12" s="13" t="n">
        <f aca="false">K12-L12</f>
        <v>0.380163265306122</v>
      </c>
      <c r="N12" s="23" t="n">
        <v>12.5</v>
      </c>
      <c r="O12" s="13" t="n">
        <f aca="false">SUMIFS($M$2:$M$1000,$C$2:$C$1000,"&lt;="&amp;C12)</f>
        <v>3.7975097917955</v>
      </c>
      <c r="P12" s="13" t="n">
        <f aca="false">O12-_xlfn.MAXIFS($O$2:$O$1000,$C$2:$C$1000,"&lt;="&amp;C12)</f>
        <v>0</v>
      </c>
      <c r="Q12" s="1"/>
      <c r="R12" s="1"/>
    </row>
    <row r="13" customFormat="false" ht="15" hidden="false" customHeight="false" outlineLevel="0" collapsed="false">
      <c r="A13" s="17" t="n">
        <v>20</v>
      </c>
      <c r="B13" s="17" t="s">
        <v>71</v>
      </c>
      <c r="C13" s="21" t="n">
        <v>46188.0729166667</v>
      </c>
      <c r="D13" s="17" t="s">
        <v>59</v>
      </c>
      <c r="E13" s="18" t="n">
        <v>0.98</v>
      </c>
      <c r="F13" s="18" t="n">
        <v>0.98</v>
      </c>
      <c r="G13" s="22" t="n">
        <v>20.4081632653061</v>
      </c>
      <c r="H13" s="13" t="n">
        <f aca="false">G13*F13</f>
        <v>20</v>
      </c>
      <c r="I13" s="17" t="s">
        <v>59</v>
      </c>
      <c r="J13" s="5" t="n">
        <f aca="false">IF(D13=I13,1,0)</f>
        <v>1</v>
      </c>
      <c r="K13" s="13" t="n">
        <f aca="false">J13*G13-H13</f>
        <v>0.408163265306122</v>
      </c>
      <c r="L13" s="13" t="n">
        <f aca="false">G13*Summary!$C$5*F13*(1-F13)+G13*Summary!$C$6</f>
        <v>0.028</v>
      </c>
      <c r="M13" s="13" t="n">
        <f aca="false">K13-L13</f>
        <v>0.380163265306122</v>
      </c>
      <c r="N13" s="23" t="n">
        <v>5.5</v>
      </c>
      <c r="O13" s="13" t="n">
        <f aca="false">SUMIFS($M$2:$M$1000,$C$2:$C$1000,"&lt;="&amp;C13)</f>
        <v>4.17767305710162</v>
      </c>
      <c r="P13" s="13" t="n">
        <f aca="false">O13-_xlfn.MAXIFS($O$2:$O$1000,$C$2:$C$1000,"&lt;="&amp;C13)</f>
        <v>0</v>
      </c>
      <c r="Q13" s="1"/>
      <c r="R13" s="1"/>
    </row>
    <row r="14" customFormat="false" ht="15" hidden="false" customHeight="false" outlineLevel="0" collapsed="false">
      <c r="A14" s="17" t="n">
        <v>23</v>
      </c>
      <c r="B14" s="17" t="s">
        <v>72</v>
      </c>
      <c r="C14" s="21" t="n">
        <v>46188.0833333333</v>
      </c>
      <c r="D14" s="17" t="s">
        <v>59</v>
      </c>
      <c r="E14" s="18" t="n">
        <v>0.98</v>
      </c>
      <c r="F14" s="18" t="n">
        <v>0.98</v>
      </c>
      <c r="G14" s="22" t="n">
        <v>20.4081632653061</v>
      </c>
      <c r="H14" s="13" t="n">
        <f aca="false">G14*F14</f>
        <v>20</v>
      </c>
      <c r="I14" s="17" t="s">
        <v>59</v>
      </c>
      <c r="J14" s="5" t="n">
        <f aca="false">IF(D14=I14,1,0)</f>
        <v>1</v>
      </c>
      <c r="K14" s="13" t="n">
        <f aca="false">J14*G14-H14</f>
        <v>0.408163265306122</v>
      </c>
      <c r="L14" s="13" t="n">
        <f aca="false">G14*Summary!$C$5*F14*(1-F14)+G14*Summary!$C$6</f>
        <v>0.028</v>
      </c>
      <c r="M14" s="13" t="n">
        <f aca="false">K14-L14</f>
        <v>0.380163265306122</v>
      </c>
      <c r="N14" s="23" t="n">
        <v>5.5</v>
      </c>
      <c r="O14" s="13" t="n">
        <f aca="false">SUMIFS($M$2:$M$1000,$C$2:$C$1000,"&lt;="&amp;C14)</f>
        <v>4.55783632240774</v>
      </c>
      <c r="P14" s="13" t="n">
        <f aca="false">O14-_xlfn.MAXIFS($O$2:$O$1000,$C$2:$C$1000,"&lt;="&amp;C14)</f>
        <v>0</v>
      </c>
      <c r="Q14" s="1"/>
      <c r="R14" s="1"/>
    </row>
    <row r="15" customFormat="false" ht="15" hidden="false" customHeight="false" outlineLevel="0" collapsed="false">
      <c r="A15" s="17" t="n">
        <v>26</v>
      </c>
      <c r="B15" s="17" t="s">
        <v>73</v>
      </c>
      <c r="C15" s="21" t="n">
        <v>46188.09375</v>
      </c>
      <c r="D15" s="17" t="s">
        <v>59</v>
      </c>
      <c r="E15" s="18" t="n">
        <v>0.99</v>
      </c>
      <c r="F15" s="18" t="n">
        <v>0.99</v>
      </c>
      <c r="G15" s="22" t="n">
        <v>20.2020202020202</v>
      </c>
      <c r="H15" s="13" t="n">
        <f aca="false">G15*F15</f>
        <v>20</v>
      </c>
      <c r="I15" s="17" t="s">
        <v>59</v>
      </c>
      <c r="J15" s="5" t="n">
        <f aca="false">IF(D15=I15,1,0)</f>
        <v>1</v>
      </c>
      <c r="K15" s="13" t="n">
        <f aca="false">J15*G15-H15</f>
        <v>0.202020202020201</v>
      </c>
      <c r="L15" s="13" t="n">
        <f aca="false">G15*Summary!$C$5*F15*(1-F15)+G15*Summary!$C$6</f>
        <v>0.0139999999999999</v>
      </c>
      <c r="M15" s="13" t="n">
        <f aca="false">K15-L15</f>
        <v>0.188020202020201</v>
      </c>
      <c r="N15" s="23" t="n">
        <v>30</v>
      </c>
      <c r="O15" s="13" t="n">
        <f aca="false">SUMIFS($M$2:$M$1000,$C$2:$C$1000,"&lt;="&amp;C15)</f>
        <v>4.74585652442794</v>
      </c>
      <c r="P15" s="13" t="n">
        <f aca="false">O15-_xlfn.MAXIFS($O$2:$O$1000,$C$2:$C$1000,"&lt;="&amp;C15)</f>
        <v>0</v>
      </c>
      <c r="Q15" s="1"/>
      <c r="R15" s="1"/>
    </row>
    <row r="16" customFormat="false" ht="15" hidden="false" customHeight="false" outlineLevel="0" collapsed="false">
      <c r="A16" s="17" t="n">
        <v>27</v>
      </c>
      <c r="B16" s="17" t="s">
        <v>74</v>
      </c>
      <c r="C16" s="21" t="n">
        <v>46188.0972222222</v>
      </c>
      <c r="D16" s="17" t="s">
        <v>59</v>
      </c>
      <c r="E16" s="18" t="n">
        <v>0.98</v>
      </c>
      <c r="F16" s="18" t="n">
        <v>0.98</v>
      </c>
      <c r="G16" s="22" t="n">
        <v>20.4081632653061</v>
      </c>
      <c r="H16" s="13" t="n">
        <f aca="false">G16*F16</f>
        <v>20</v>
      </c>
      <c r="I16" s="17" t="s">
        <v>59</v>
      </c>
      <c r="J16" s="5" t="n">
        <f aca="false">IF(D16=I16,1,0)</f>
        <v>1</v>
      </c>
      <c r="K16" s="13" t="n">
        <f aca="false">J16*G16-H16</f>
        <v>0.408163265306122</v>
      </c>
      <c r="L16" s="13" t="n">
        <f aca="false">G16*Summary!$C$5*F16*(1-F16)+G16*Summary!$C$6</f>
        <v>0.028</v>
      </c>
      <c r="M16" s="13" t="n">
        <f aca="false">K16-L16</f>
        <v>0.380163265306122</v>
      </c>
      <c r="N16" s="23" t="n">
        <v>22.5</v>
      </c>
      <c r="O16" s="13" t="n">
        <f aca="false">SUMIFS($M$2:$M$1000,$C$2:$C$1000,"&lt;="&amp;C16)</f>
        <v>5.12601978973407</v>
      </c>
      <c r="P16" s="13" t="n">
        <f aca="false">O16-_xlfn.MAXIFS($O$2:$O$1000,$C$2:$C$1000,"&lt;="&amp;C16)</f>
        <v>0</v>
      </c>
      <c r="Q16" s="1"/>
      <c r="R16" s="1"/>
    </row>
    <row r="17" customFormat="false" ht="15" hidden="false" customHeight="false" outlineLevel="0" collapsed="false">
      <c r="A17" s="17" t="n">
        <v>28</v>
      </c>
      <c r="B17" s="17" t="s">
        <v>75</v>
      </c>
      <c r="C17" s="21" t="n">
        <v>46188.1006944445</v>
      </c>
      <c r="D17" s="17" t="s">
        <v>59</v>
      </c>
      <c r="E17" s="18" t="n">
        <v>0.98</v>
      </c>
      <c r="F17" s="18" t="n">
        <v>0.98</v>
      </c>
      <c r="G17" s="22" t="n">
        <v>20.4081632653061</v>
      </c>
      <c r="H17" s="13" t="n">
        <f aca="false">G17*F17</f>
        <v>20</v>
      </c>
      <c r="I17" s="17" t="s">
        <v>59</v>
      </c>
      <c r="J17" s="5" t="n">
        <f aca="false">IF(D17=I17,1,0)</f>
        <v>1</v>
      </c>
      <c r="K17" s="13" t="n">
        <f aca="false">J17*G17-H17</f>
        <v>0.408163265306122</v>
      </c>
      <c r="L17" s="13" t="n">
        <f aca="false">G17*Summary!$C$5*F17*(1-F17)+G17*Summary!$C$6</f>
        <v>0.028</v>
      </c>
      <c r="M17" s="13" t="n">
        <f aca="false">K17-L17</f>
        <v>0.380163265306122</v>
      </c>
      <c r="N17" s="23" t="n">
        <v>4.5</v>
      </c>
      <c r="O17" s="13" t="n">
        <f aca="false">SUMIFS($M$2:$M$1000,$C$2:$C$1000,"&lt;="&amp;C17)</f>
        <v>5.50618305504019</v>
      </c>
      <c r="P17" s="13" t="n">
        <f aca="false">O17-_xlfn.MAXIFS($O$2:$O$1000,$C$2:$C$1000,"&lt;="&amp;C17)</f>
        <v>0</v>
      </c>
      <c r="Q17" s="1"/>
      <c r="R17" s="1"/>
    </row>
    <row r="18" customFormat="false" ht="15" hidden="false" customHeight="false" outlineLevel="0" collapsed="false">
      <c r="A18" s="17" t="n">
        <v>31</v>
      </c>
      <c r="B18" s="17" t="s">
        <v>76</v>
      </c>
      <c r="C18" s="21" t="n">
        <v>46188.1111111111</v>
      </c>
      <c r="D18" s="17" t="s">
        <v>59</v>
      </c>
      <c r="E18" s="18" t="n">
        <v>0.99</v>
      </c>
      <c r="F18" s="18" t="n">
        <v>0.99</v>
      </c>
      <c r="G18" s="22" t="n">
        <v>20.2020202020202</v>
      </c>
      <c r="H18" s="13" t="n">
        <f aca="false">G18*F18</f>
        <v>20</v>
      </c>
      <c r="I18" s="17" t="s">
        <v>59</v>
      </c>
      <c r="J18" s="5" t="n">
        <f aca="false">IF(D18=I18,1,0)</f>
        <v>1</v>
      </c>
      <c r="K18" s="13" t="n">
        <f aca="false">J18*G18-H18</f>
        <v>0.202020202020201</v>
      </c>
      <c r="L18" s="13" t="n">
        <f aca="false">G18*Summary!$C$5*F18*(1-F18)+G18*Summary!$C$6</f>
        <v>0.0139999999999999</v>
      </c>
      <c r="M18" s="13" t="n">
        <f aca="false">K18-L18</f>
        <v>0.188020202020201</v>
      </c>
      <c r="N18" s="23" t="n">
        <v>30</v>
      </c>
      <c r="O18" s="13" t="n">
        <f aca="false">SUMIFS($M$2:$M$1000,$C$2:$C$1000,"&lt;="&amp;C18)</f>
        <v>5.69420325706039</v>
      </c>
      <c r="P18" s="13" t="n">
        <f aca="false">O18-_xlfn.MAXIFS($O$2:$O$1000,$C$2:$C$1000,"&lt;="&amp;C18)</f>
        <v>0</v>
      </c>
      <c r="Q18" s="1"/>
      <c r="R18" s="1"/>
    </row>
    <row r="19" customFormat="false" ht="15" hidden="false" customHeight="false" outlineLevel="0" collapsed="false">
      <c r="A19" s="17" t="n">
        <v>32</v>
      </c>
      <c r="B19" s="17" t="s">
        <v>77</v>
      </c>
      <c r="C19" s="21" t="n">
        <v>46188.1145833333</v>
      </c>
      <c r="D19" s="17" t="s">
        <v>61</v>
      </c>
      <c r="E19" s="18" t="n">
        <v>0.99</v>
      </c>
      <c r="F19" s="18" t="n">
        <v>0.99</v>
      </c>
      <c r="G19" s="22" t="n">
        <v>20.2020202020202</v>
      </c>
      <c r="H19" s="13" t="n">
        <f aca="false">G19*F19</f>
        <v>20</v>
      </c>
      <c r="I19" s="17" t="s">
        <v>61</v>
      </c>
      <c r="J19" s="5" t="n">
        <f aca="false">IF(D19=I19,1,0)</f>
        <v>1</v>
      </c>
      <c r="K19" s="13" t="n">
        <f aca="false">J19*G19-H19</f>
        <v>0.202020202020201</v>
      </c>
      <c r="L19" s="13" t="n">
        <f aca="false">G19*Summary!$C$5*F19*(1-F19)+G19*Summary!$C$6</f>
        <v>0.0139999999999999</v>
      </c>
      <c r="M19" s="13" t="n">
        <f aca="false">K19-L19</f>
        <v>0.188020202020201</v>
      </c>
      <c r="N19" s="23" t="n">
        <v>30</v>
      </c>
      <c r="O19" s="13" t="n">
        <f aca="false">SUMIFS($M$2:$M$1000,$C$2:$C$1000,"&lt;="&amp;C19)</f>
        <v>5.88222345908059</v>
      </c>
      <c r="P19" s="13" t="n">
        <f aca="false">O19-_xlfn.MAXIFS($O$2:$O$1000,$C$2:$C$1000,"&lt;="&amp;C19)</f>
        <v>0</v>
      </c>
      <c r="Q19" s="1"/>
      <c r="R19" s="1"/>
    </row>
    <row r="20" customFormat="false" ht="15" hidden="false" customHeight="false" outlineLevel="0" collapsed="false">
      <c r="A20" s="17" t="n">
        <v>33</v>
      </c>
      <c r="B20" s="17" t="s">
        <v>78</v>
      </c>
      <c r="C20" s="21" t="n">
        <v>46188.1180555556</v>
      </c>
      <c r="D20" s="17" t="s">
        <v>61</v>
      </c>
      <c r="E20" s="18" t="n">
        <v>0.98</v>
      </c>
      <c r="F20" s="18" t="n">
        <v>0.98</v>
      </c>
      <c r="G20" s="22" t="n">
        <v>20.4081632653061</v>
      </c>
      <c r="H20" s="13" t="n">
        <f aca="false">G20*F20</f>
        <v>20</v>
      </c>
      <c r="I20" s="17" t="s">
        <v>61</v>
      </c>
      <c r="J20" s="5" t="n">
        <f aca="false">IF(D20=I20,1,0)</f>
        <v>1</v>
      </c>
      <c r="K20" s="13" t="n">
        <f aca="false">J20*G20-H20</f>
        <v>0.408163265306122</v>
      </c>
      <c r="L20" s="13" t="n">
        <f aca="false">G20*Summary!$C$5*F20*(1-F20)+G20*Summary!$C$6</f>
        <v>0.028</v>
      </c>
      <c r="M20" s="13" t="n">
        <f aca="false">K20-L20</f>
        <v>0.380163265306122</v>
      </c>
      <c r="N20" s="23" t="n">
        <v>25.5</v>
      </c>
      <c r="O20" s="13" t="n">
        <f aca="false">SUMIFS($M$2:$M$1000,$C$2:$C$1000,"&lt;="&amp;C20)</f>
        <v>6.26238672438671</v>
      </c>
      <c r="P20" s="13" t="n">
        <f aca="false">O20-_xlfn.MAXIFS($O$2:$O$1000,$C$2:$C$1000,"&lt;="&amp;C20)</f>
        <v>0</v>
      </c>
      <c r="Q20" s="1"/>
      <c r="R20" s="1"/>
    </row>
    <row r="21" customFormat="false" ht="15" hidden="false" customHeight="false" outlineLevel="0" collapsed="false">
      <c r="A21" s="17" t="n">
        <v>34</v>
      </c>
      <c r="B21" s="17" t="s">
        <v>79</v>
      </c>
      <c r="C21" s="21" t="n">
        <v>46188.1215277778</v>
      </c>
      <c r="D21" s="17" t="s">
        <v>61</v>
      </c>
      <c r="E21" s="18" t="n">
        <v>0.99</v>
      </c>
      <c r="F21" s="18" t="n">
        <v>0.99</v>
      </c>
      <c r="G21" s="22" t="n">
        <v>20.2020202020202</v>
      </c>
      <c r="H21" s="13" t="n">
        <f aca="false">G21*F21</f>
        <v>20</v>
      </c>
      <c r="I21" s="17" t="s">
        <v>61</v>
      </c>
      <c r="J21" s="5" t="n">
        <f aca="false">IF(D21=I21,1,0)</f>
        <v>1</v>
      </c>
      <c r="K21" s="13" t="n">
        <f aca="false">J21*G21-H21</f>
        <v>0.202020202020201</v>
      </c>
      <c r="L21" s="13" t="n">
        <f aca="false">G21*Summary!$C$5*F21*(1-F21)+G21*Summary!$C$6</f>
        <v>0.0139999999999999</v>
      </c>
      <c r="M21" s="13" t="n">
        <f aca="false">K21-L21</f>
        <v>0.188020202020201</v>
      </c>
      <c r="N21" s="23" t="n">
        <v>30</v>
      </c>
      <c r="O21" s="13" t="n">
        <f aca="false">SUMIFS($M$2:$M$1000,$C$2:$C$1000,"&lt;="&amp;C21)</f>
        <v>6.45040692640691</v>
      </c>
      <c r="P21" s="13" t="n">
        <f aca="false">O21-_xlfn.MAXIFS($O$2:$O$1000,$C$2:$C$1000,"&lt;="&amp;C21)</f>
        <v>0</v>
      </c>
      <c r="Q21" s="1"/>
      <c r="R21" s="1"/>
    </row>
    <row r="22" customFormat="false" ht="15" hidden="false" customHeight="false" outlineLevel="0" collapsed="false">
      <c r="A22" s="17" t="n">
        <v>37</v>
      </c>
      <c r="B22" s="17" t="s">
        <v>80</v>
      </c>
      <c r="C22" s="21" t="n">
        <v>46188.1319444445</v>
      </c>
      <c r="D22" s="17" t="s">
        <v>59</v>
      </c>
      <c r="E22" s="18" t="n">
        <v>0.98</v>
      </c>
      <c r="F22" s="18" t="n">
        <v>0.98</v>
      </c>
      <c r="G22" s="22" t="n">
        <v>20.4081632653061</v>
      </c>
      <c r="H22" s="13" t="n">
        <f aca="false">G22*F22</f>
        <v>20</v>
      </c>
      <c r="I22" s="17" t="s">
        <v>59</v>
      </c>
      <c r="J22" s="5" t="n">
        <f aca="false">IF(D22=I22,1,0)</f>
        <v>1</v>
      </c>
      <c r="K22" s="13" t="n">
        <f aca="false">J22*G22-H22</f>
        <v>0.408163265306122</v>
      </c>
      <c r="L22" s="13" t="n">
        <f aca="false">G22*Summary!$C$5*F22*(1-F22)+G22*Summary!$C$6</f>
        <v>0.028</v>
      </c>
      <c r="M22" s="13" t="n">
        <f aca="false">K22-L22</f>
        <v>0.380163265306122</v>
      </c>
      <c r="N22" s="23" t="n">
        <v>10.5</v>
      </c>
      <c r="O22" s="13" t="n">
        <f aca="false">SUMIFS($M$2:$M$1000,$C$2:$C$1000,"&lt;="&amp;C22)</f>
        <v>6.83057019171304</v>
      </c>
      <c r="P22" s="13" t="n">
        <f aca="false">O22-_xlfn.MAXIFS($O$2:$O$1000,$C$2:$C$1000,"&lt;="&amp;C22)</f>
        <v>0</v>
      </c>
      <c r="Q22" s="1"/>
      <c r="R22" s="1"/>
    </row>
    <row r="23" customFormat="false" ht="15" hidden="false" customHeight="false" outlineLevel="0" collapsed="false">
      <c r="A23" s="17" t="n">
        <v>39</v>
      </c>
      <c r="B23" s="17" t="s">
        <v>81</v>
      </c>
      <c r="C23" s="21" t="n">
        <v>46188.1388888889</v>
      </c>
      <c r="D23" s="17" t="s">
        <v>61</v>
      </c>
      <c r="E23" s="18" t="n">
        <v>0.98</v>
      </c>
      <c r="F23" s="18" t="n">
        <v>0.98</v>
      </c>
      <c r="G23" s="22" t="n">
        <v>20.4081632653061</v>
      </c>
      <c r="H23" s="13" t="n">
        <f aca="false">G23*F23</f>
        <v>20</v>
      </c>
      <c r="I23" s="17" t="s">
        <v>61</v>
      </c>
      <c r="J23" s="5" t="n">
        <f aca="false">IF(D23=I23,1,0)</f>
        <v>1</v>
      </c>
      <c r="K23" s="13" t="n">
        <f aca="false">J23*G23-H23</f>
        <v>0.408163265306122</v>
      </c>
      <c r="L23" s="13" t="n">
        <f aca="false">G23*Summary!$C$5*F23*(1-F23)+G23*Summary!$C$6</f>
        <v>0.028</v>
      </c>
      <c r="M23" s="13" t="n">
        <f aca="false">K23-L23</f>
        <v>0.380163265306122</v>
      </c>
      <c r="N23" s="23" t="n">
        <v>18.5</v>
      </c>
      <c r="O23" s="13" t="n">
        <f aca="false">SUMIFS($M$2:$M$1000,$C$2:$C$1000,"&lt;="&amp;C23)</f>
        <v>7.21073345701916</v>
      </c>
      <c r="P23" s="13" t="n">
        <f aca="false">O23-_xlfn.MAXIFS($O$2:$O$1000,$C$2:$C$1000,"&lt;="&amp;C23)</f>
        <v>0</v>
      </c>
      <c r="Q23" s="1"/>
      <c r="R23" s="1"/>
    </row>
    <row r="24" customFormat="false" ht="15" hidden="false" customHeight="false" outlineLevel="0" collapsed="false">
      <c r="A24" s="17" t="n">
        <v>40</v>
      </c>
      <c r="B24" s="17" t="s">
        <v>82</v>
      </c>
      <c r="C24" s="21" t="n">
        <v>46188.1423611111</v>
      </c>
      <c r="D24" s="17" t="s">
        <v>61</v>
      </c>
      <c r="E24" s="18" t="n">
        <v>0.99</v>
      </c>
      <c r="F24" s="18" t="n">
        <v>0.99</v>
      </c>
      <c r="G24" s="22" t="n">
        <v>20.2020202020202</v>
      </c>
      <c r="H24" s="13" t="n">
        <f aca="false">G24*F24</f>
        <v>20</v>
      </c>
      <c r="I24" s="17" t="s">
        <v>61</v>
      </c>
      <c r="J24" s="5" t="n">
        <f aca="false">IF(D24=I24,1,0)</f>
        <v>1</v>
      </c>
      <c r="K24" s="13" t="n">
        <f aca="false">J24*G24-H24</f>
        <v>0.202020202020201</v>
      </c>
      <c r="L24" s="13" t="n">
        <f aca="false">G24*Summary!$C$5*F24*(1-F24)+G24*Summary!$C$6</f>
        <v>0.0139999999999999</v>
      </c>
      <c r="M24" s="13" t="n">
        <f aca="false">K24-L24</f>
        <v>0.188020202020201</v>
      </c>
      <c r="N24" s="23" t="n">
        <v>4</v>
      </c>
      <c r="O24" s="13" t="n">
        <f aca="false">SUMIFS($M$2:$M$1000,$C$2:$C$1000,"&lt;="&amp;C24)</f>
        <v>7.39875365903936</v>
      </c>
      <c r="P24" s="13" t="n">
        <f aca="false">O24-_xlfn.MAXIFS($O$2:$O$1000,$C$2:$C$1000,"&lt;="&amp;C24)</f>
        <v>0</v>
      </c>
      <c r="Q24" s="1"/>
      <c r="R24" s="1"/>
    </row>
    <row r="25" customFormat="false" ht="15" hidden="false" customHeight="false" outlineLevel="0" collapsed="false">
      <c r="A25" s="17" t="n">
        <v>41</v>
      </c>
      <c r="B25" s="17" t="s">
        <v>83</v>
      </c>
      <c r="C25" s="21" t="n">
        <v>46188.1458333333</v>
      </c>
      <c r="D25" s="17" t="s">
        <v>59</v>
      </c>
      <c r="E25" s="18" t="n">
        <v>0.98</v>
      </c>
      <c r="F25" s="18" t="n">
        <v>0.98</v>
      </c>
      <c r="G25" s="22" t="n">
        <v>20.4081632653061</v>
      </c>
      <c r="H25" s="13" t="n">
        <f aca="false">G25*F25</f>
        <v>20</v>
      </c>
      <c r="I25" s="17" t="s">
        <v>59</v>
      </c>
      <c r="J25" s="5" t="n">
        <f aca="false">IF(D25=I25,1,0)</f>
        <v>1</v>
      </c>
      <c r="K25" s="13" t="n">
        <f aca="false">J25*G25-H25</f>
        <v>0.408163265306122</v>
      </c>
      <c r="L25" s="13" t="n">
        <f aca="false">G25*Summary!$C$5*F25*(1-F25)+G25*Summary!$C$6</f>
        <v>0.028</v>
      </c>
      <c r="M25" s="13" t="n">
        <f aca="false">K25-L25</f>
        <v>0.380163265306122</v>
      </c>
      <c r="N25" s="23" t="n">
        <v>30</v>
      </c>
      <c r="O25" s="13" t="n">
        <f aca="false">SUMIFS($M$2:$M$1000,$C$2:$C$1000,"&lt;="&amp;C25)</f>
        <v>7.77891692434548</v>
      </c>
      <c r="P25" s="13" t="n">
        <f aca="false">O25-_xlfn.MAXIFS($O$2:$O$1000,$C$2:$C$1000,"&lt;="&amp;C25)</f>
        <v>0</v>
      </c>
      <c r="Q25" s="1"/>
      <c r="R25" s="1"/>
    </row>
    <row r="26" customFormat="false" ht="15" hidden="false" customHeight="false" outlineLevel="0" collapsed="false">
      <c r="A26" s="17" t="n">
        <v>42</v>
      </c>
      <c r="B26" s="17" t="s">
        <v>84</v>
      </c>
      <c r="C26" s="21" t="n">
        <v>46188.1493055556</v>
      </c>
      <c r="D26" s="17" t="s">
        <v>59</v>
      </c>
      <c r="E26" s="18" t="n">
        <v>0.98</v>
      </c>
      <c r="F26" s="18" t="n">
        <v>0.98</v>
      </c>
      <c r="G26" s="22" t="n">
        <v>20.4081632653061</v>
      </c>
      <c r="H26" s="13" t="n">
        <f aca="false">G26*F26</f>
        <v>20</v>
      </c>
      <c r="I26" s="17" t="s">
        <v>59</v>
      </c>
      <c r="J26" s="5" t="n">
        <f aca="false">IF(D26=I26,1,0)</f>
        <v>1</v>
      </c>
      <c r="K26" s="13" t="n">
        <f aca="false">J26*G26-H26</f>
        <v>0.408163265306122</v>
      </c>
      <c r="L26" s="13" t="n">
        <f aca="false">G26*Summary!$C$5*F26*(1-F26)+G26*Summary!$C$6</f>
        <v>0.028</v>
      </c>
      <c r="M26" s="13" t="n">
        <f aca="false">K26-L26</f>
        <v>0.380163265306122</v>
      </c>
      <c r="N26" s="23" t="n">
        <v>21.5</v>
      </c>
      <c r="O26" s="13" t="n">
        <f aca="false">SUMIFS($M$2:$M$1000,$C$2:$C$1000,"&lt;="&amp;C26)</f>
        <v>8.1590801896516</v>
      </c>
      <c r="P26" s="13" t="n">
        <f aca="false">O26-_xlfn.MAXIFS($O$2:$O$1000,$C$2:$C$1000,"&lt;="&amp;C26)</f>
        <v>0</v>
      </c>
      <c r="Q26" s="1"/>
      <c r="R26" s="1"/>
    </row>
    <row r="27" customFormat="false" ht="15" hidden="false" customHeight="false" outlineLevel="0" collapsed="false">
      <c r="A27" s="17" t="n">
        <v>43</v>
      </c>
      <c r="B27" s="17" t="s">
        <v>85</v>
      </c>
      <c r="C27" s="21" t="n">
        <v>46188.1527777778</v>
      </c>
      <c r="D27" s="17" t="s">
        <v>61</v>
      </c>
      <c r="E27" s="18" t="n">
        <v>0.98</v>
      </c>
      <c r="F27" s="18" t="n">
        <v>0.98</v>
      </c>
      <c r="G27" s="22" t="n">
        <v>20.4081632653061</v>
      </c>
      <c r="H27" s="13" t="n">
        <f aca="false">G27*F27</f>
        <v>20</v>
      </c>
      <c r="I27" s="17" t="s">
        <v>61</v>
      </c>
      <c r="J27" s="5" t="n">
        <f aca="false">IF(D27=I27,1,0)</f>
        <v>1</v>
      </c>
      <c r="K27" s="13" t="n">
        <f aca="false">J27*G27-H27</f>
        <v>0.408163265306122</v>
      </c>
      <c r="L27" s="13" t="n">
        <f aca="false">G27*Summary!$C$5*F27*(1-F27)+G27*Summary!$C$6</f>
        <v>0.028</v>
      </c>
      <c r="M27" s="13" t="n">
        <f aca="false">K27-L27</f>
        <v>0.380163265306122</v>
      </c>
      <c r="N27" s="23" t="n">
        <v>27</v>
      </c>
      <c r="O27" s="13" t="n">
        <f aca="false">SUMIFS($M$2:$M$1000,$C$2:$C$1000,"&lt;="&amp;C27)</f>
        <v>8.53924345495772</v>
      </c>
      <c r="P27" s="13" t="n">
        <f aca="false">O27-_xlfn.MAXIFS($O$2:$O$1000,$C$2:$C$1000,"&lt;="&amp;C27)</f>
        <v>0</v>
      </c>
      <c r="Q27" s="1"/>
      <c r="R27" s="1"/>
    </row>
    <row r="28" customFormat="false" ht="15" hidden="false" customHeight="false" outlineLevel="0" collapsed="false">
      <c r="A28" s="17" t="n">
        <v>46</v>
      </c>
      <c r="B28" s="17" t="s">
        <v>86</v>
      </c>
      <c r="C28" s="21" t="n">
        <v>46188.1631944445</v>
      </c>
      <c r="D28" s="17" t="s">
        <v>59</v>
      </c>
      <c r="E28" s="18" t="n">
        <v>0.98</v>
      </c>
      <c r="F28" s="18" t="n">
        <v>0.98</v>
      </c>
      <c r="G28" s="22" t="n">
        <v>20.4081632653061</v>
      </c>
      <c r="H28" s="13" t="n">
        <f aca="false">G28*F28</f>
        <v>20</v>
      </c>
      <c r="I28" s="17" t="s">
        <v>59</v>
      </c>
      <c r="J28" s="5" t="n">
        <f aca="false">IF(D28=I28,1,0)</f>
        <v>1</v>
      </c>
      <c r="K28" s="13" t="n">
        <f aca="false">J28*G28-H28</f>
        <v>0.408163265306122</v>
      </c>
      <c r="L28" s="13" t="n">
        <f aca="false">G28*Summary!$C$5*F28*(1-F28)+G28*Summary!$C$6</f>
        <v>0.028</v>
      </c>
      <c r="M28" s="13" t="n">
        <f aca="false">K28-L28</f>
        <v>0.380163265306122</v>
      </c>
      <c r="N28" s="23" t="n">
        <v>9</v>
      </c>
      <c r="O28" s="13" t="n">
        <f aca="false">SUMIFS($M$2:$M$1000,$C$2:$C$1000,"&lt;="&amp;C28)</f>
        <v>8.91940672026385</v>
      </c>
      <c r="P28" s="13" t="n">
        <f aca="false">O28-_xlfn.MAXIFS($O$2:$O$1000,$C$2:$C$1000,"&lt;="&amp;C28)</f>
        <v>0</v>
      </c>
      <c r="Q28" s="1"/>
      <c r="R28" s="1"/>
    </row>
    <row r="29" customFormat="false" ht="15" hidden="false" customHeight="false" outlineLevel="0" collapsed="false">
      <c r="A29" s="17" t="n">
        <v>47</v>
      </c>
      <c r="B29" s="17" t="s">
        <v>87</v>
      </c>
      <c r="C29" s="21" t="n">
        <v>46188.1666666667</v>
      </c>
      <c r="D29" s="17" t="s">
        <v>61</v>
      </c>
      <c r="E29" s="18" t="n">
        <v>0.98</v>
      </c>
      <c r="F29" s="18" t="n">
        <v>0.98</v>
      </c>
      <c r="G29" s="22" t="n">
        <v>20.4081632653061</v>
      </c>
      <c r="H29" s="13" t="n">
        <f aca="false">G29*F29</f>
        <v>20</v>
      </c>
      <c r="I29" s="17" t="s">
        <v>61</v>
      </c>
      <c r="J29" s="5" t="n">
        <f aca="false">IF(D29=I29,1,0)</f>
        <v>1</v>
      </c>
      <c r="K29" s="13" t="n">
        <f aca="false">J29*G29-H29</f>
        <v>0.408163265306122</v>
      </c>
      <c r="L29" s="13" t="n">
        <f aca="false">G29*Summary!$C$5*F29*(1-F29)+G29*Summary!$C$6</f>
        <v>0.028</v>
      </c>
      <c r="M29" s="13" t="n">
        <f aca="false">K29-L29</f>
        <v>0.380163265306122</v>
      </c>
      <c r="N29" s="23" t="n">
        <v>27</v>
      </c>
      <c r="O29" s="13" t="n">
        <f aca="false">SUMIFS($M$2:$M$1000,$C$2:$C$1000,"&lt;="&amp;C29)</f>
        <v>9.29956998556997</v>
      </c>
      <c r="P29" s="13" t="n">
        <f aca="false">O29-_xlfn.MAXIFS($O$2:$O$1000,$C$2:$C$1000,"&lt;="&amp;C29)</f>
        <v>0</v>
      </c>
      <c r="Q29" s="1"/>
      <c r="R29" s="1"/>
    </row>
    <row r="30" customFormat="false" ht="15" hidden="false" customHeight="false" outlineLevel="0" collapsed="false">
      <c r="A30" s="17" t="n">
        <v>49</v>
      </c>
      <c r="B30" s="17" t="s">
        <v>88</v>
      </c>
      <c r="C30" s="21" t="n">
        <v>46188.1736111111</v>
      </c>
      <c r="D30" s="17" t="s">
        <v>61</v>
      </c>
      <c r="E30" s="18" t="n">
        <v>0.98</v>
      </c>
      <c r="F30" s="18" t="n">
        <v>0.98</v>
      </c>
      <c r="G30" s="22" t="n">
        <v>20.4081632653061</v>
      </c>
      <c r="H30" s="13" t="n">
        <f aca="false">G30*F30</f>
        <v>20</v>
      </c>
      <c r="I30" s="17" t="s">
        <v>61</v>
      </c>
      <c r="J30" s="5" t="n">
        <f aca="false">IF(D30=I30,1,0)</f>
        <v>1</v>
      </c>
      <c r="K30" s="13" t="n">
        <f aca="false">J30*G30-H30</f>
        <v>0.408163265306122</v>
      </c>
      <c r="L30" s="13" t="n">
        <f aca="false">G30*Summary!$C$5*F30*(1-F30)+G30*Summary!$C$6</f>
        <v>0.028</v>
      </c>
      <c r="M30" s="13" t="n">
        <f aca="false">K30-L30</f>
        <v>0.380163265306122</v>
      </c>
      <c r="N30" s="23" t="n">
        <v>5.5</v>
      </c>
      <c r="O30" s="13" t="n">
        <f aca="false">SUMIFS($M$2:$M$1000,$C$2:$C$1000,"&lt;="&amp;C30)</f>
        <v>9.67973325087609</v>
      </c>
      <c r="P30" s="13" t="n">
        <f aca="false">O30-_xlfn.MAXIFS($O$2:$O$1000,$C$2:$C$1000,"&lt;="&amp;C30)</f>
        <v>0</v>
      </c>
      <c r="Q30" s="1"/>
      <c r="R30" s="1"/>
    </row>
    <row r="31" customFormat="false" ht="15" hidden="false" customHeight="false" outlineLevel="0" collapsed="false">
      <c r="A31" s="17" t="n">
        <v>51</v>
      </c>
      <c r="B31" s="17" t="s">
        <v>89</v>
      </c>
      <c r="C31" s="21" t="n">
        <v>46188.1805555556</v>
      </c>
      <c r="D31" s="17" t="s">
        <v>59</v>
      </c>
      <c r="E31" s="18" t="n">
        <v>0.99</v>
      </c>
      <c r="F31" s="18" t="n">
        <v>0.99</v>
      </c>
      <c r="G31" s="22" t="n">
        <v>20.2020202020202</v>
      </c>
      <c r="H31" s="13" t="n">
        <f aca="false">G31*F31</f>
        <v>20</v>
      </c>
      <c r="I31" s="17" t="s">
        <v>59</v>
      </c>
      <c r="J31" s="5" t="n">
        <f aca="false">IF(D31=I31,1,0)</f>
        <v>1</v>
      </c>
      <c r="K31" s="13" t="n">
        <f aca="false">J31*G31-H31</f>
        <v>0.202020202020201</v>
      </c>
      <c r="L31" s="13" t="n">
        <f aca="false">G31*Summary!$C$5*F31*(1-F31)+G31*Summary!$C$6</f>
        <v>0.0139999999999999</v>
      </c>
      <c r="M31" s="13" t="n">
        <f aca="false">K31-L31</f>
        <v>0.188020202020201</v>
      </c>
      <c r="N31" s="23" t="n">
        <v>30</v>
      </c>
      <c r="O31" s="13" t="n">
        <f aca="false">SUMIFS($M$2:$M$1000,$C$2:$C$1000,"&lt;="&amp;C31)</f>
        <v>9.86775345289629</v>
      </c>
      <c r="P31" s="13" t="n">
        <f aca="false">O31-_xlfn.MAXIFS($O$2:$O$1000,$C$2:$C$1000,"&lt;="&amp;C31)</f>
        <v>0</v>
      </c>
      <c r="Q31" s="1"/>
      <c r="R31" s="1"/>
    </row>
    <row r="32" customFormat="false" ht="15" hidden="false" customHeight="false" outlineLevel="0" collapsed="false">
      <c r="A32" s="17" t="n">
        <v>52</v>
      </c>
      <c r="B32" s="17" t="s">
        <v>90</v>
      </c>
      <c r="C32" s="21" t="n">
        <v>46188.1840277778</v>
      </c>
      <c r="D32" s="17" t="s">
        <v>61</v>
      </c>
      <c r="E32" s="18" t="n">
        <v>0.98</v>
      </c>
      <c r="F32" s="18" t="n">
        <v>0.98</v>
      </c>
      <c r="G32" s="22" t="n">
        <v>20.4081632653061</v>
      </c>
      <c r="H32" s="13" t="n">
        <f aca="false">G32*F32</f>
        <v>20</v>
      </c>
      <c r="I32" s="17" t="s">
        <v>61</v>
      </c>
      <c r="J32" s="5" t="n">
        <f aca="false">IF(D32=I32,1,0)</f>
        <v>1</v>
      </c>
      <c r="K32" s="13" t="n">
        <f aca="false">J32*G32-H32</f>
        <v>0.408163265306122</v>
      </c>
      <c r="L32" s="13" t="n">
        <f aca="false">G32*Summary!$C$5*F32*(1-F32)+G32*Summary!$C$6</f>
        <v>0.028</v>
      </c>
      <c r="M32" s="13" t="n">
        <f aca="false">K32-L32</f>
        <v>0.380163265306122</v>
      </c>
      <c r="N32" s="23" t="n">
        <v>6</v>
      </c>
      <c r="O32" s="13" t="n">
        <f aca="false">SUMIFS($M$2:$M$1000,$C$2:$C$1000,"&lt;="&amp;C32)</f>
        <v>10.2479167182024</v>
      </c>
      <c r="P32" s="13" t="n">
        <f aca="false">O32-_xlfn.MAXIFS($O$2:$O$1000,$C$2:$C$1000,"&lt;="&amp;C32)</f>
        <v>0</v>
      </c>
      <c r="Q32" s="1"/>
      <c r="R32" s="1"/>
    </row>
    <row r="33" customFormat="false" ht="15" hidden="false" customHeight="false" outlineLevel="0" collapsed="false">
      <c r="A33" s="17" t="n">
        <v>55</v>
      </c>
      <c r="B33" s="17" t="s">
        <v>91</v>
      </c>
      <c r="C33" s="21" t="n">
        <v>46188.1944444445</v>
      </c>
      <c r="D33" s="17" t="s">
        <v>61</v>
      </c>
      <c r="E33" s="18" t="n">
        <v>0.99</v>
      </c>
      <c r="F33" s="18" t="n">
        <v>0.99</v>
      </c>
      <c r="G33" s="22" t="n">
        <v>20.2020202020202</v>
      </c>
      <c r="H33" s="13" t="n">
        <f aca="false">G33*F33</f>
        <v>20</v>
      </c>
      <c r="I33" s="17" t="s">
        <v>61</v>
      </c>
      <c r="J33" s="5" t="n">
        <f aca="false">IF(D33=I33,1,0)</f>
        <v>1</v>
      </c>
      <c r="K33" s="13" t="n">
        <f aca="false">J33*G33-H33</f>
        <v>0.202020202020201</v>
      </c>
      <c r="L33" s="13" t="n">
        <f aca="false">G33*Summary!$C$5*F33*(1-F33)+G33*Summary!$C$6</f>
        <v>0.0139999999999999</v>
      </c>
      <c r="M33" s="13" t="n">
        <f aca="false">K33-L33</f>
        <v>0.188020202020201</v>
      </c>
      <c r="N33" s="23" t="n">
        <v>30</v>
      </c>
      <c r="O33" s="13" t="n">
        <f aca="false">SUMIFS($M$2:$M$1000,$C$2:$C$1000,"&lt;="&amp;C33)</f>
        <v>10.4359369202226</v>
      </c>
      <c r="P33" s="13" t="n">
        <f aca="false">O33-_xlfn.MAXIFS($O$2:$O$1000,$C$2:$C$1000,"&lt;="&amp;C33)</f>
        <v>0</v>
      </c>
      <c r="Q33" s="1"/>
      <c r="R33" s="1"/>
    </row>
    <row r="34" customFormat="false" ht="15" hidden="false" customHeight="false" outlineLevel="0" collapsed="false">
      <c r="A34" s="17" t="n">
        <v>58</v>
      </c>
      <c r="B34" s="17" t="s">
        <v>92</v>
      </c>
      <c r="C34" s="21" t="n">
        <v>46188.2048611111</v>
      </c>
      <c r="D34" s="17" t="s">
        <v>61</v>
      </c>
      <c r="E34" s="18" t="n">
        <v>0.98</v>
      </c>
      <c r="F34" s="18" t="n">
        <v>0.98</v>
      </c>
      <c r="G34" s="22" t="n">
        <v>20.4081632653061</v>
      </c>
      <c r="H34" s="13" t="n">
        <f aca="false">G34*F34</f>
        <v>20</v>
      </c>
      <c r="I34" s="17" t="s">
        <v>61</v>
      </c>
      <c r="J34" s="5" t="n">
        <f aca="false">IF(D34=I34,1,0)</f>
        <v>1</v>
      </c>
      <c r="K34" s="13" t="n">
        <f aca="false">J34*G34-H34</f>
        <v>0.408163265306122</v>
      </c>
      <c r="L34" s="13" t="n">
        <f aca="false">G34*Summary!$C$5*F34*(1-F34)+G34*Summary!$C$6</f>
        <v>0.028</v>
      </c>
      <c r="M34" s="13" t="n">
        <f aca="false">K34-L34</f>
        <v>0.380163265306122</v>
      </c>
      <c r="N34" s="23" t="n">
        <v>7.5</v>
      </c>
      <c r="O34" s="13" t="n">
        <f aca="false">SUMIFS($M$2:$M$1000,$C$2:$C$1000,"&lt;="&amp;C34)</f>
        <v>10.8161001855287</v>
      </c>
      <c r="P34" s="13" t="n">
        <f aca="false">O34-_xlfn.MAXIFS($O$2:$O$1000,$C$2:$C$1000,"&lt;="&amp;C34)</f>
        <v>0</v>
      </c>
      <c r="Q34" s="1"/>
      <c r="R34" s="1"/>
    </row>
    <row r="35" customFormat="false" ht="15" hidden="false" customHeight="false" outlineLevel="0" collapsed="false">
      <c r="A35" s="17" t="n">
        <v>59</v>
      </c>
      <c r="B35" s="17" t="s">
        <v>93</v>
      </c>
      <c r="C35" s="21" t="n">
        <v>46188.2083333333</v>
      </c>
      <c r="D35" s="17" t="s">
        <v>61</v>
      </c>
      <c r="E35" s="18" t="n">
        <v>0.98</v>
      </c>
      <c r="F35" s="18" t="n">
        <v>0.98</v>
      </c>
      <c r="G35" s="22" t="n">
        <v>20.4081632653061</v>
      </c>
      <c r="H35" s="13" t="n">
        <f aca="false">G35*F35</f>
        <v>20</v>
      </c>
      <c r="I35" s="17" t="s">
        <v>61</v>
      </c>
      <c r="J35" s="5" t="n">
        <f aca="false">IF(D35=I35,1,0)</f>
        <v>1</v>
      </c>
      <c r="K35" s="13" t="n">
        <f aca="false">J35*G35-H35</f>
        <v>0.408163265306122</v>
      </c>
      <c r="L35" s="13" t="n">
        <f aca="false">G35*Summary!$C$5*F35*(1-F35)+G35*Summary!$C$6</f>
        <v>0.028</v>
      </c>
      <c r="M35" s="13" t="n">
        <f aca="false">K35-L35</f>
        <v>0.380163265306122</v>
      </c>
      <c r="N35" s="23" t="n">
        <v>23</v>
      </c>
      <c r="O35" s="13" t="n">
        <f aca="false">SUMIFS($M$2:$M$1000,$C$2:$C$1000,"&lt;="&amp;C35)</f>
        <v>11.1962634508349</v>
      </c>
      <c r="P35" s="13" t="n">
        <f aca="false">O35-_xlfn.MAXIFS($O$2:$O$1000,$C$2:$C$1000,"&lt;="&amp;C35)</f>
        <v>0</v>
      </c>
      <c r="Q35" s="1"/>
      <c r="R35" s="1"/>
    </row>
    <row r="36" customFormat="false" ht="15" hidden="false" customHeight="false" outlineLevel="0" collapsed="false">
      <c r="A36" s="17" t="n">
        <v>60</v>
      </c>
      <c r="B36" s="17" t="s">
        <v>94</v>
      </c>
      <c r="C36" s="21" t="n">
        <v>46188.2118055556</v>
      </c>
      <c r="D36" s="17" t="s">
        <v>61</v>
      </c>
      <c r="E36" s="18" t="n">
        <v>0.98</v>
      </c>
      <c r="F36" s="18" t="n">
        <v>0.98</v>
      </c>
      <c r="G36" s="22" t="n">
        <v>20.4081632653061</v>
      </c>
      <c r="H36" s="13" t="n">
        <f aca="false">G36*F36</f>
        <v>20</v>
      </c>
      <c r="I36" s="17" t="s">
        <v>61</v>
      </c>
      <c r="J36" s="5" t="n">
        <f aca="false">IF(D36=I36,1,0)</f>
        <v>1</v>
      </c>
      <c r="K36" s="13" t="n">
        <f aca="false">J36*G36-H36</f>
        <v>0.408163265306122</v>
      </c>
      <c r="L36" s="13" t="n">
        <f aca="false">G36*Summary!$C$5*F36*(1-F36)+G36*Summary!$C$6</f>
        <v>0.028</v>
      </c>
      <c r="M36" s="13" t="n">
        <f aca="false">K36-L36</f>
        <v>0.380163265306122</v>
      </c>
      <c r="N36" s="23" t="n">
        <v>30</v>
      </c>
      <c r="O36" s="13" t="n">
        <f aca="false">SUMIFS($M$2:$M$1000,$C$2:$C$1000,"&lt;="&amp;C36)</f>
        <v>11.576426716141</v>
      </c>
      <c r="P36" s="13" t="n">
        <f aca="false">O36-_xlfn.MAXIFS($O$2:$O$1000,$C$2:$C$1000,"&lt;="&amp;C36)</f>
        <v>0</v>
      </c>
      <c r="Q36" s="1"/>
      <c r="R36" s="1"/>
    </row>
    <row r="37" customFormat="false" ht="15" hidden="false" customHeight="false" outlineLevel="0" collapsed="false">
      <c r="A37" s="17" t="n">
        <v>61</v>
      </c>
      <c r="B37" s="17" t="s">
        <v>95</v>
      </c>
      <c r="C37" s="21" t="n">
        <v>46188.2152777778</v>
      </c>
      <c r="D37" s="17" t="s">
        <v>59</v>
      </c>
      <c r="E37" s="18" t="n">
        <v>0.99</v>
      </c>
      <c r="F37" s="18" t="n">
        <v>0.99</v>
      </c>
      <c r="G37" s="22" t="n">
        <v>20.2020202020202</v>
      </c>
      <c r="H37" s="13" t="n">
        <f aca="false">G37*F37</f>
        <v>20</v>
      </c>
      <c r="I37" s="17" t="s">
        <v>59</v>
      </c>
      <c r="J37" s="5" t="n">
        <f aca="false">IF(D37=I37,1,0)</f>
        <v>1</v>
      </c>
      <c r="K37" s="13" t="n">
        <f aca="false">J37*G37-H37</f>
        <v>0.202020202020201</v>
      </c>
      <c r="L37" s="13" t="n">
        <f aca="false">G37*Summary!$C$5*F37*(1-F37)+G37*Summary!$C$6</f>
        <v>0.0139999999999999</v>
      </c>
      <c r="M37" s="13" t="n">
        <f aca="false">K37-L37</f>
        <v>0.188020202020201</v>
      </c>
      <c r="N37" s="23" t="n">
        <v>30</v>
      </c>
      <c r="O37" s="13" t="n">
        <f aca="false">SUMIFS($M$2:$M$1000,$C$2:$C$1000,"&lt;="&amp;C37)</f>
        <v>11.7644469181612</v>
      </c>
      <c r="P37" s="13" t="n">
        <f aca="false">O37-_xlfn.MAXIFS($O$2:$O$1000,$C$2:$C$1000,"&lt;="&amp;C37)</f>
        <v>0</v>
      </c>
      <c r="Q37" s="1"/>
      <c r="R37" s="1"/>
    </row>
    <row r="38" customFormat="false" ht="15" hidden="false" customHeight="false" outlineLevel="0" collapsed="false">
      <c r="A38" s="17" t="n">
        <v>62</v>
      </c>
      <c r="B38" s="17" t="s">
        <v>96</v>
      </c>
      <c r="C38" s="21" t="n">
        <v>46188.21875</v>
      </c>
      <c r="D38" s="17" t="s">
        <v>59</v>
      </c>
      <c r="E38" s="18" t="n">
        <v>0.98</v>
      </c>
      <c r="F38" s="18" t="n">
        <v>0.98</v>
      </c>
      <c r="G38" s="22" t="n">
        <v>20.4081632653061</v>
      </c>
      <c r="H38" s="13" t="n">
        <f aca="false">G38*F38</f>
        <v>20</v>
      </c>
      <c r="I38" s="17" t="s">
        <v>59</v>
      </c>
      <c r="J38" s="5" t="n">
        <f aca="false">IF(D38=I38,1,0)</f>
        <v>1</v>
      </c>
      <c r="K38" s="13" t="n">
        <f aca="false">J38*G38-H38</f>
        <v>0.408163265306122</v>
      </c>
      <c r="L38" s="13" t="n">
        <f aca="false">G38*Summary!$C$5*F38*(1-F38)+G38*Summary!$C$6</f>
        <v>0.028</v>
      </c>
      <c r="M38" s="13" t="n">
        <f aca="false">K38-L38</f>
        <v>0.380163265306122</v>
      </c>
      <c r="N38" s="23" t="n">
        <v>25</v>
      </c>
      <c r="O38" s="13" t="n">
        <f aca="false">SUMIFS($M$2:$M$1000,$C$2:$C$1000,"&lt;="&amp;C38)</f>
        <v>12.1446101834673</v>
      </c>
      <c r="P38" s="13" t="n">
        <f aca="false">O38-_xlfn.MAXIFS($O$2:$O$1000,$C$2:$C$1000,"&lt;="&amp;C38)</f>
        <v>0</v>
      </c>
      <c r="Q38" s="1"/>
      <c r="R38" s="1"/>
    </row>
    <row r="39" customFormat="false" ht="15" hidden="false" customHeight="false" outlineLevel="0" collapsed="false">
      <c r="A39" s="17" t="n">
        <v>63</v>
      </c>
      <c r="B39" s="17" t="s">
        <v>97</v>
      </c>
      <c r="C39" s="21" t="n">
        <v>46188.2222222222</v>
      </c>
      <c r="D39" s="17" t="s">
        <v>59</v>
      </c>
      <c r="E39" s="18" t="n">
        <v>0.98</v>
      </c>
      <c r="F39" s="18" t="n">
        <v>0.98</v>
      </c>
      <c r="G39" s="22" t="n">
        <v>20.4081632653061</v>
      </c>
      <c r="H39" s="13" t="n">
        <f aca="false">G39*F39</f>
        <v>20</v>
      </c>
      <c r="I39" s="17" t="s">
        <v>59</v>
      </c>
      <c r="J39" s="5" t="n">
        <f aca="false">IF(D39=I39,1,0)</f>
        <v>1</v>
      </c>
      <c r="K39" s="13" t="n">
        <f aca="false">J39*G39-H39</f>
        <v>0.408163265306122</v>
      </c>
      <c r="L39" s="13" t="n">
        <f aca="false">G39*Summary!$C$5*F39*(1-F39)+G39*Summary!$C$6</f>
        <v>0.028</v>
      </c>
      <c r="M39" s="13" t="n">
        <f aca="false">K39-L39</f>
        <v>0.380163265306122</v>
      </c>
      <c r="N39" s="23" t="n">
        <v>18</v>
      </c>
      <c r="O39" s="13" t="n">
        <f aca="false">SUMIFS($M$2:$M$1000,$C$2:$C$1000,"&lt;="&amp;C39)</f>
        <v>12.5247734487734</v>
      </c>
      <c r="P39" s="13" t="n">
        <f aca="false">O39-_xlfn.MAXIFS($O$2:$O$1000,$C$2:$C$1000,"&lt;="&amp;C39)</f>
        <v>0</v>
      </c>
      <c r="Q39" s="1"/>
      <c r="R39" s="1"/>
    </row>
    <row r="40" customFormat="false" ht="15" hidden="false" customHeight="false" outlineLevel="0" collapsed="false">
      <c r="A40" s="17" t="n">
        <v>71</v>
      </c>
      <c r="B40" s="17" t="s">
        <v>98</v>
      </c>
      <c r="C40" s="21" t="n">
        <v>46188.25</v>
      </c>
      <c r="D40" s="17" t="s">
        <v>59</v>
      </c>
      <c r="E40" s="18" t="n">
        <v>0.98</v>
      </c>
      <c r="F40" s="18" t="n">
        <v>0.98</v>
      </c>
      <c r="G40" s="22" t="n">
        <v>20.4081632653061</v>
      </c>
      <c r="H40" s="13" t="n">
        <f aca="false">G40*F40</f>
        <v>20</v>
      </c>
      <c r="I40" s="17" t="s">
        <v>59</v>
      </c>
      <c r="J40" s="5" t="n">
        <f aca="false">IF(D40=I40,1,0)</f>
        <v>1</v>
      </c>
      <c r="K40" s="13" t="n">
        <f aca="false">J40*G40-H40</f>
        <v>0.408163265306122</v>
      </c>
      <c r="L40" s="13" t="n">
        <f aca="false">G40*Summary!$C$5*F40*(1-F40)+G40*Summary!$C$6</f>
        <v>0.028</v>
      </c>
      <c r="M40" s="13" t="n">
        <f aca="false">K40-L40</f>
        <v>0.380163265306122</v>
      </c>
      <c r="N40" s="23" t="n">
        <v>30</v>
      </c>
      <c r="O40" s="13" t="n">
        <f aca="false">SUMIFS($M$2:$M$1000,$C$2:$C$1000,"&lt;="&amp;C40)</f>
        <v>12.9049367140795</v>
      </c>
      <c r="P40" s="13" t="n">
        <f aca="false">O40-_xlfn.MAXIFS($O$2:$O$1000,$C$2:$C$1000,"&lt;="&amp;C40)</f>
        <v>0</v>
      </c>
      <c r="Q40" s="1"/>
      <c r="R40" s="1"/>
    </row>
    <row r="41" customFormat="false" ht="15" hidden="false" customHeight="false" outlineLevel="0" collapsed="false">
      <c r="A41" s="17" t="n">
        <v>74</v>
      </c>
      <c r="B41" s="17" t="s">
        <v>99</v>
      </c>
      <c r="C41" s="21" t="n">
        <v>46188.2604166667</v>
      </c>
      <c r="D41" s="17" t="s">
        <v>59</v>
      </c>
      <c r="E41" s="18" t="n">
        <v>0.98</v>
      </c>
      <c r="F41" s="18" t="n">
        <v>0.98</v>
      </c>
      <c r="G41" s="22" t="n">
        <v>20.4081632653061</v>
      </c>
      <c r="H41" s="13" t="n">
        <f aca="false">G41*F41</f>
        <v>20</v>
      </c>
      <c r="I41" s="17" t="s">
        <v>59</v>
      </c>
      <c r="J41" s="5" t="n">
        <f aca="false">IF(D41=I41,1,0)</f>
        <v>1</v>
      </c>
      <c r="K41" s="13" t="n">
        <f aca="false">J41*G41-H41</f>
        <v>0.408163265306122</v>
      </c>
      <c r="L41" s="13" t="n">
        <f aca="false">G41*Summary!$C$5*F41*(1-F41)+G41*Summary!$C$6</f>
        <v>0.028</v>
      </c>
      <c r="M41" s="13" t="n">
        <f aca="false">K41-L41</f>
        <v>0.380163265306122</v>
      </c>
      <c r="N41" s="23" t="n">
        <v>15.5</v>
      </c>
      <c r="O41" s="13" t="n">
        <f aca="false">SUMIFS($M$2:$M$1000,$C$2:$C$1000,"&lt;="&amp;C41)</f>
        <v>13.2850999793857</v>
      </c>
      <c r="P41" s="13" t="n">
        <f aca="false">O41-_xlfn.MAXIFS($O$2:$O$1000,$C$2:$C$1000,"&lt;="&amp;C41)</f>
        <v>0</v>
      </c>
      <c r="Q41" s="1"/>
      <c r="R41" s="1"/>
    </row>
    <row r="42" customFormat="false" ht="15" hidden="false" customHeight="false" outlineLevel="0" collapsed="false">
      <c r="A42" s="17" t="n">
        <v>75</v>
      </c>
      <c r="B42" s="17" t="s">
        <v>100</v>
      </c>
      <c r="C42" s="21" t="n">
        <v>46188.2638888889</v>
      </c>
      <c r="D42" s="17" t="s">
        <v>61</v>
      </c>
      <c r="E42" s="18" t="n">
        <v>0.98</v>
      </c>
      <c r="F42" s="18" t="n">
        <v>0.98</v>
      </c>
      <c r="G42" s="22" t="n">
        <v>20.4081632653061</v>
      </c>
      <c r="H42" s="13" t="n">
        <f aca="false">G42*F42</f>
        <v>20</v>
      </c>
      <c r="I42" s="17" t="s">
        <v>61</v>
      </c>
      <c r="J42" s="5" t="n">
        <f aca="false">IF(D42=I42,1,0)</f>
        <v>1</v>
      </c>
      <c r="K42" s="13" t="n">
        <f aca="false">J42*G42-H42</f>
        <v>0.408163265306122</v>
      </c>
      <c r="L42" s="13" t="n">
        <f aca="false">G42*Summary!$C$5*F42*(1-F42)+G42*Summary!$C$6</f>
        <v>0.028</v>
      </c>
      <c r="M42" s="13" t="n">
        <f aca="false">K42-L42</f>
        <v>0.380163265306122</v>
      </c>
      <c r="N42" s="23" t="n">
        <v>6</v>
      </c>
      <c r="O42" s="13" t="n">
        <f aca="false">SUMIFS($M$2:$M$1000,$C$2:$C$1000,"&lt;="&amp;C42)</f>
        <v>13.6652632446918</v>
      </c>
      <c r="P42" s="13" t="n">
        <f aca="false">O42-_xlfn.MAXIFS($O$2:$O$1000,$C$2:$C$1000,"&lt;="&amp;C42)</f>
        <v>0</v>
      </c>
      <c r="Q42" s="1"/>
      <c r="R42" s="1"/>
    </row>
    <row r="43" customFormat="false" ht="15" hidden="false" customHeight="false" outlineLevel="0" collapsed="false">
      <c r="A43" s="17" t="n">
        <v>76</v>
      </c>
      <c r="B43" s="17" t="s">
        <v>101</v>
      </c>
      <c r="C43" s="21" t="n">
        <v>46188.2673611111</v>
      </c>
      <c r="D43" s="17" t="s">
        <v>59</v>
      </c>
      <c r="E43" s="18" t="n">
        <v>0.99</v>
      </c>
      <c r="F43" s="18" t="n">
        <v>0.99</v>
      </c>
      <c r="G43" s="22" t="n">
        <v>16.3099994659424</v>
      </c>
      <c r="H43" s="13" t="n">
        <f aca="false">G43*F43</f>
        <v>16.146899471283</v>
      </c>
      <c r="I43" s="17" t="s">
        <v>59</v>
      </c>
      <c r="J43" s="5" t="n">
        <f aca="false">IF(D43=I43,1,0)</f>
        <v>1</v>
      </c>
      <c r="K43" s="13" t="n">
        <f aca="false">J43*G43-H43</f>
        <v>0.163099994659422</v>
      </c>
      <c r="L43" s="13" t="n">
        <f aca="false">G43*Summary!$C$5*F43*(1-F43)+G43*Summary!$C$6</f>
        <v>0.011302829629898</v>
      </c>
      <c r="M43" s="13" t="n">
        <f aca="false">K43-L43</f>
        <v>0.151797165029524</v>
      </c>
      <c r="N43" s="23" t="n">
        <v>28.5</v>
      </c>
      <c r="O43" s="13" t="n">
        <f aca="false">SUMIFS($M$2:$M$1000,$C$2:$C$1000,"&lt;="&amp;C43)</f>
        <v>13.8170604097213</v>
      </c>
      <c r="P43" s="13" t="n">
        <f aca="false">O43-_xlfn.MAXIFS($O$2:$O$1000,$C$2:$C$1000,"&lt;="&amp;C43)</f>
        <v>0</v>
      </c>
      <c r="Q43" s="1"/>
      <c r="R43" s="1"/>
    </row>
    <row r="44" customFormat="false" ht="15" hidden="false" customHeight="false" outlineLevel="0" collapsed="false">
      <c r="A44" s="17" t="n">
        <v>77</v>
      </c>
      <c r="B44" s="17" t="s">
        <v>102</v>
      </c>
      <c r="C44" s="21" t="n">
        <v>46188.2708333333</v>
      </c>
      <c r="D44" s="17" t="s">
        <v>59</v>
      </c>
      <c r="E44" s="18" t="n">
        <v>0.98</v>
      </c>
      <c r="F44" s="18" t="n">
        <v>0.98</v>
      </c>
      <c r="G44" s="22" t="n">
        <v>20.4081632653061</v>
      </c>
      <c r="H44" s="13" t="n">
        <f aca="false">G44*F44</f>
        <v>20</v>
      </c>
      <c r="I44" s="17" t="s">
        <v>59</v>
      </c>
      <c r="J44" s="5" t="n">
        <f aca="false">IF(D44=I44,1,0)</f>
        <v>1</v>
      </c>
      <c r="K44" s="13" t="n">
        <f aca="false">J44*G44-H44</f>
        <v>0.408163265306122</v>
      </c>
      <c r="L44" s="13" t="n">
        <f aca="false">G44*Summary!$C$5*F44*(1-F44)+G44*Summary!$C$6</f>
        <v>0.028</v>
      </c>
      <c r="M44" s="13" t="n">
        <f aca="false">K44-L44</f>
        <v>0.380163265306122</v>
      </c>
      <c r="N44" s="23" t="n">
        <v>5.5</v>
      </c>
      <c r="O44" s="13" t="n">
        <f aca="false">SUMIFS($M$2:$M$1000,$C$2:$C$1000,"&lt;="&amp;C44)</f>
        <v>14.1972236750274</v>
      </c>
      <c r="P44" s="13" t="n">
        <f aca="false">O44-_xlfn.MAXIFS($O$2:$O$1000,$C$2:$C$1000,"&lt;="&amp;C44)</f>
        <v>0</v>
      </c>
      <c r="Q44" s="1"/>
      <c r="R44" s="1"/>
    </row>
    <row r="45" customFormat="false" ht="15" hidden="false" customHeight="false" outlineLevel="0" collapsed="false">
      <c r="A45" s="17" t="n">
        <v>78</v>
      </c>
      <c r="B45" s="17" t="s">
        <v>103</v>
      </c>
      <c r="C45" s="21" t="n">
        <v>46188.2743055556</v>
      </c>
      <c r="D45" s="17" t="s">
        <v>61</v>
      </c>
      <c r="E45" s="18" t="n">
        <v>0.99</v>
      </c>
      <c r="F45" s="18" t="n">
        <v>0.99</v>
      </c>
      <c r="G45" s="22" t="n">
        <v>20.2020202020202</v>
      </c>
      <c r="H45" s="13" t="n">
        <f aca="false">G45*F45</f>
        <v>20</v>
      </c>
      <c r="I45" s="17" t="s">
        <v>61</v>
      </c>
      <c r="J45" s="5" t="n">
        <f aca="false">IF(D45=I45,1,0)</f>
        <v>1</v>
      </c>
      <c r="K45" s="13" t="n">
        <f aca="false">J45*G45-H45</f>
        <v>0.202020202020201</v>
      </c>
      <c r="L45" s="13" t="n">
        <f aca="false">G45*Summary!$C$5*F45*(1-F45)+G45*Summary!$C$6</f>
        <v>0.0139999999999999</v>
      </c>
      <c r="M45" s="13" t="n">
        <f aca="false">K45-L45</f>
        <v>0.188020202020201</v>
      </c>
      <c r="N45" s="23" t="n">
        <v>30</v>
      </c>
      <c r="O45" s="13" t="n">
        <f aca="false">SUMIFS($M$2:$M$1000,$C$2:$C$1000,"&lt;="&amp;C45)</f>
        <v>14.3852438770476</v>
      </c>
      <c r="P45" s="13" t="n">
        <f aca="false">O45-_xlfn.MAXIFS($O$2:$O$1000,$C$2:$C$1000,"&lt;="&amp;C45)</f>
        <v>0</v>
      </c>
      <c r="Q45" s="1"/>
      <c r="R45" s="1"/>
    </row>
    <row r="46" customFormat="false" ht="15" hidden="false" customHeight="false" outlineLevel="0" collapsed="false">
      <c r="A46" s="17" t="n">
        <v>79</v>
      </c>
      <c r="B46" s="17" t="s">
        <v>104</v>
      </c>
      <c r="C46" s="21" t="n">
        <v>46188.2777777778</v>
      </c>
      <c r="D46" s="17" t="s">
        <v>61</v>
      </c>
      <c r="E46" s="18" t="n">
        <v>0.98</v>
      </c>
      <c r="F46" s="18" t="n">
        <v>0.98</v>
      </c>
      <c r="G46" s="22" t="n">
        <v>20.4081632653061</v>
      </c>
      <c r="H46" s="13" t="n">
        <f aca="false">G46*F46</f>
        <v>20</v>
      </c>
      <c r="I46" s="17" t="s">
        <v>61</v>
      </c>
      <c r="J46" s="5" t="n">
        <f aca="false">IF(D46=I46,1,0)</f>
        <v>1</v>
      </c>
      <c r="K46" s="13" t="n">
        <f aca="false">J46*G46-H46</f>
        <v>0.408163265306122</v>
      </c>
      <c r="L46" s="13" t="n">
        <f aca="false">G46*Summary!$C$5*F46*(1-F46)+G46*Summary!$C$6</f>
        <v>0.028</v>
      </c>
      <c r="M46" s="13" t="n">
        <f aca="false">K46-L46</f>
        <v>0.380163265306122</v>
      </c>
      <c r="N46" s="23" t="n">
        <v>6</v>
      </c>
      <c r="O46" s="13" t="n">
        <f aca="false">SUMIFS($M$2:$M$1000,$C$2:$C$1000,"&lt;="&amp;C46)</f>
        <v>14.7654071423538</v>
      </c>
      <c r="P46" s="13" t="n">
        <f aca="false">O46-_xlfn.MAXIFS($O$2:$O$1000,$C$2:$C$1000,"&lt;="&amp;C46)</f>
        <v>0</v>
      </c>
      <c r="Q46" s="1"/>
      <c r="R46" s="1"/>
    </row>
    <row r="47" customFormat="false" ht="15" hidden="false" customHeight="false" outlineLevel="0" collapsed="false">
      <c r="A47" s="17" t="n">
        <v>80</v>
      </c>
      <c r="B47" s="17" t="s">
        <v>105</v>
      </c>
      <c r="C47" s="21" t="n">
        <v>46188.28125</v>
      </c>
      <c r="D47" s="17" t="s">
        <v>59</v>
      </c>
      <c r="E47" s="18" t="n">
        <v>0.98</v>
      </c>
      <c r="F47" s="18" t="n">
        <v>0.98</v>
      </c>
      <c r="G47" s="22" t="n">
        <v>20.4081632653061</v>
      </c>
      <c r="H47" s="13" t="n">
        <f aca="false">G47*F47</f>
        <v>20</v>
      </c>
      <c r="I47" s="17" t="s">
        <v>59</v>
      </c>
      <c r="J47" s="5" t="n">
        <f aca="false">IF(D47=I47,1,0)</f>
        <v>1</v>
      </c>
      <c r="K47" s="13" t="n">
        <f aca="false">J47*G47-H47</f>
        <v>0.408163265306122</v>
      </c>
      <c r="L47" s="13" t="n">
        <f aca="false">G47*Summary!$C$5*F47*(1-F47)+G47*Summary!$C$6</f>
        <v>0.028</v>
      </c>
      <c r="M47" s="13" t="n">
        <f aca="false">K47-L47</f>
        <v>0.380163265306122</v>
      </c>
      <c r="N47" s="23" t="n">
        <v>6</v>
      </c>
      <c r="O47" s="13" t="n">
        <f aca="false">SUMIFS($M$2:$M$1000,$C$2:$C$1000,"&lt;="&amp;C47)</f>
        <v>15.1455704076599</v>
      </c>
      <c r="P47" s="13" t="n">
        <f aca="false">O47-_xlfn.MAXIFS($O$2:$O$1000,$C$2:$C$1000,"&lt;="&amp;C47)</f>
        <v>0</v>
      </c>
      <c r="Q47" s="1"/>
      <c r="R47" s="1"/>
    </row>
    <row r="48" customFormat="false" ht="15" hidden="false" customHeight="false" outlineLevel="0" collapsed="false">
      <c r="A48" s="17" t="n">
        <v>82</v>
      </c>
      <c r="B48" s="17" t="s">
        <v>106</v>
      </c>
      <c r="C48" s="21" t="n">
        <v>46188.2881944445</v>
      </c>
      <c r="D48" s="17" t="s">
        <v>61</v>
      </c>
      <c r="E48" s="18" t="n">
        <v>0.99</v>
      </c>
      <c r="F48" s="18" t="n">
        <v>0.99</v>
      </c>
      <c r="G48" s="22" t="n">
        <v>20.2020202020202</v>
      </c>
      <c r="H48" s="13" t="n">
        <f aca="false">G48*F48</f>
        <v>20</v>
      </c>
      <c r="I48" s="17" t="s">
        <v>61</v>
      </c>
      <c r="J48" s="5" t="n">
        <f aca="false">IF(D48=I48,1,0)</f>
        <v>1</v>
      </c>
      <c r="K48" s="13" t="n">
        <f aca="false">J48*G48-H48</f>
        <v>0.202020202020201</v>
      </c>
      <c r="L48" s="13" t="n">
        <f aca="false">G48*Summary!$C$5*F48*(1-F48)+G48*Summary!$C$6</f>
        <v>0.0139999999999999</v>
      </c>
      <c r="M48" s="13" t="n">
        <f aca="false">K48-L48</f>
        <v>0.188020202020201</v>
      </c>
      <c r="N48" s="23" t="n">
        <v>27</v>
      </c>
      <c r="O48" s="13" t="n">
        <f aca="false">SUMIFS($M$2:$M$1000,$C$2:$C$1000,"&lt;="&amp;C48)</f>
        <v>15.3335906096801</v>
      </c>
      <c r="P48" s="13" t="n">
        <f aca="false">O48-_xlfn.MAXIFS($O$2:$O$1000,$C$2:$C$1000,"&lt;="&amp;C48)</f>
        <v>0</v>
      </c>
      <c r="Q48" s="1"/>
      <c r="R48" s="1"/>
    </row>
    <row r="49" customFormat="false" ht="15" hidden="false" customHeight="false" outlineLevel="0" collapsed="false">
      <c r="A49" s="17" t="n">
        <v>83</v>
      </c>
      <c r="B49" s="17" t="s">
        <v>107</v>
      </c>
      <c r="C49" s="21" t="n">
        <v>46188.2916666667</v>
      </c>
      <c r="D49" s="17" t="s">
        <v>61</v>
      </c>
      <c r="E49" s="18" t="n">
        <v>0.99</v>
      </c>
      <c r="F49" s="18" t="n">
        <v>0.99</v>
      </c>
      <c r="G49" s="22" t="n">
        <v>20.2020202020202</v>
      </c>
      <c r="H49" s="13" t="n">
        <f aca="false">G49*F49</f>
        <v>20</v>
      </c>
      <c r="I49" s="17" t="s">
        <v>61</v>
      </c>
      <c r="J49" s="5" t="n">
        <f aca="false">IF(D49=I49,1,0)</f>
        <v>1</v>
      </c>
      <c r="K49" s="13" t="n">
        <f aca="false">J49*G49-H49</f>
        <v>0.202020202020201</v>
      </c>
      <c r="L49" s="13" t="n">
        <f aca="false">G49*Summary!$C$5*F49*(1-F49)+G49*Summary!$C$6</f>
        <v>0.0139999999999999</v>
      </c>
      <c r="M49" s="13" t="n">
        <f aca="false">K49-L49</f>
        <v>0.188020202020201</v>
      </c>
      <c r="N49" s="23" t="n">
        <v>30</v>
      </c>
      <c r="O49" s="13" t="n">
        <f aca="false">SUMIFS($M$2:$M$1000,$C$2:$C$1000,"&lt;="&amp;C49)</f>
        <v>15.5216108117003</v>
      </c>
      <c r="P49" s="13" t="n">
        <f aca="false">O49-_xlfn.MAXIFS($O$2:$O$1000,$C$2:$C$1000,"&lt;="&amp;C49)</f>
        <v>0</v>
      </c>
      <c r="Q49" s="1"/>
      <c r="R49" s="1"/>
    </row>
    <row r="50" customFormat="false" ht="15" hidden="false" customHeight="false" outlineLevel="0" collapsed="false">
      <c r="A50" s="17" t="n">
        <v>85</v>
      </c>
      <c r="B50" s="17" t="s">
        <v>108</v>
      </c>
      <c r="C50" s="21" t="n">
        <v>46188.2986111111</v>
      </c>
      <c r="D50" s="17" t="s">
        <v>59</v>
      </c>
      <c r="E50" s="18" t="n">
        <v>0.98</v>
      </c>
      <c r="F50" s="18" t="n">
        <v>0.98</v>
      </c>
      <c r="G50" s="22" t="n">
        <v>20.4081632653061</v>
      </c>
      <c r="H50" s="13" t="n">
        <f aca="false">G50*F50</f>
        <v>20</v>
      </c>
      <c r="I50" s="17" t="s">
        <v>59</v>
      </c>
      <c r="J50" s="5" t="n">
        <f aca="false">IF(D50=I50,1,0)</f>
        <v>1</v>
      </c>
      <c r="K50" s="13" t="n">
        <f aca="false">J50*G50-H50</f>
        <v>0.408163265306122</v>
      </c>
      <c r="L50" s="13" t="n">
        <f aca="false">G50*Summary!$C$5*F50*(1-F50)+G50*Summary!$C$6</f>
        <v>0.028</v>
      </c>
      <c r="M50" s="13" t="n">
        <f aca="false">K50-L50</f>
        <v>0.380163265306122</v>
      </c>
      <c r="N50" s="23" t="n">
        <v>23.5</v>
      </c>
      <c r="O50" s="13" t="n">
        <f aca="false">SUMIFS($M$2:$M$1000,$C$2:$C$1000,"&lt;="&amp;C50)</f>
        <v>15.9017740770064</v>
      </c>
      <c r="P50" s="13" t="n">
        <f aca="false">O50-_xlfn.MAXIFS($O$2:$O$1000,$C$2:$C$1000,"&lt;="&amp;C50)</f>
        <v>0</v>
      </c>
      <c r="Q50" s="1"/>
      <c r="R50" s="1"/>
    </row>
    <row r="51" customFormat="false" ht="15" hidden="false" customHeight="false" outlineLevel="0" collapsed="false">
      <c r="A51" s="17" t="n">
        <v>86</v>
      </c>
      <c r="B51" s="17" t="s">
        <v>109</v>
      </c>
      <c r="C51" s="21" t="n">
        <v>46188.3020833333</v>
      </c>
      <c r="D51" s="17" t="s">
        <v>59</v>
      </c>
      <c r="E51" s="18" t="n">
        <v>0.99</v>
      </c>
      <c r="F51" s="18" t="n">
        <v>0.99</v>
      </c>
      <c r="G51" s="22" t="n">
        <v>20.2020202020202</v>
      </c>
      <c r="H51" s="13" t="n">
        <f aca="false">G51*F51</f>
        <v>20</v>
      </c>
      <c r="I51" s="17" t="s">
        <v>59</v>
      </c>
      <c r="J51" s="5" t="n">
        <f aca="false">IF(D51=I51,1,0)</f>
        <v>1</v>
      </c>
      <c r="K51" s="13" t="n">
        <f aca="false">J51*G51-H51</f>
        <v>0.202020202020201</v>
      </c>
      <c r="L51" s="13" t="n">
        <f aca="false">G51*Summary!$C$5*F51*(1-F51)+G51*Summary!$C$6</f>
        <v>0.0139999999999999</v>
      </c>
      <c r="M51" s="13" t="n">
        <f aca="false">K51-L51</f>
        <v>0.188020202020201</v>
      </c>
      <c r="N51" s="23" t="n">
        <v>13</v>
      </c>
      <c r="O51" s="13" t="n">
        <f aca="false">SUMIFS($M$2:$M$1000,$C$2:$C$1000,"&lt;="&amp;C51)</f>
        <v>16.0897942790266</v>
      </c>
      <c r="P51" s="13" t="n">
        <f aca="false">O51-_xlfn.MAXIFS($O$2:$O$1000,$C$2:$C$1000,"&lt;="&amp;C51)</f>
        <v>0</v>
      </c>
      <c r="Q51" s="1"/>
      <c r="R51" s="1"/>
    </row>
    <row r="52" customFormat="false" ht="15" hidden="false" customHeight="false" outlineLevel="0" collapsed="false">
      <c r="A52" s="17" t="n">
        <v>89</v>
      </c>
      <c r="B52" s="17" t="s">
        <v>110</v>
      </c>
      <c r="C52" s="21" t="n">
        <v>46188.3125</v>
      </c>
      <c r="D52" s="17" t="s">
        <v>61</v>
      </c>
      <c r="E52" s="18" t="n">
        <v>0.98</v>
      </c>
      <c r="F52" s="18" t="n">
        <v>0.98</v>
      </c>
      <c r="G52" s="22" t="n">
        <v>20.4081632653061</v>
      </c>
      <c r="H52" s="13" t="n">
        <f aca="false">G52*F52</f>
        <v>20</v>
      </c>
      <c r="I52" s="17" t="s">
        <v>61</v>
      </c>
      <c r="J52" s="5" t="n">
        <f aca="false">IF(D52=I52,1,0)</f>
        <v>1</v>
      </c>
      <c r="K52" s="13" t="n">
        <f aca="false">J52*G52-H52</f>
        <v>0.408163265306122</v>
      </c>
      <c r="L52" s="13" t="n">
        <f aca="false">G52*Summary!$C$5*F52*(1-F52)+G52*Summary!$C$6</f>
        <v>0.028</v>
      </c>
      <c r="M52" s="13" t="n">
        <f aca="false">K52-L52</f>
        <v>0.380163265306122</v>
      </c>
      <c r="N52" s="23" t="n">
        <v>12</v>
      </c>
      <c r="O52" s="13" t="n">
        <f aca="false">SUMIFS($M$2:$M$1000,$C$2:$C$1000,"&lt;="&amp;C52)</f>
        <v>16.4699575443327</v>
      </c>
      <c r="P52" s="13" t="n">
        <f aca="false">O52-_xlfn.MAXIFS($O$2:$O$1000,$C$2:$C$1000,"&lt;="&amp;C52)</f>
        <v>0</v>
      </c>
      <c r="Q52" s="1"/>
      <c r="R52" s="1"/>
    </row>
    <row r="53" customFormat="false" ht="15" hidden="false" customHeight="false" outlineLevel="0" collapsed="false">
      <c r="A53" s="17" t="n">
        <v>97</v>
      </c>
      <c r="B53" s="17" t="s">
        <v>111</v>
      </c>
      <c r="C53" s="21" t="n">
        <v>46188.3402777778</v>
      </c>
      <c r="D53" s="17" t="s">
        <v>61</v>
      </c>
      <c r="E53" s="18" t="n">
        <v>0.99</v>
      </c>
      <c r="F53" s="18" t="n">
        <v>0.99</v>
      </c>
      <c r="G53" s="22" t="n">
        <v>3.86999988555908</v>
      </c>
      <c r="H53" s="13" t="n">
        <f aca="false">G53*F53</f>
        <v>3.83129988670349</v>
      </c>
      <c r="I53" s="17" t="s">
        <v>61</v>
      </c>
      <c r="J53" s="5" t="n">
        <f aca="false">IF(D53=I53,1,0)</f>
        <v>1</v>
      </c>
      <c r="K53" s="13" t="n">
        <f aca="false">J53*G53-H53</f>
        <v>0.0386999988555909</v>
      </c>
      <c r="L53" s="13" t="n">
        <f aca="false">G53*Summary!$C$5*F53*(1-F53)+G53*Summary!$C$6</f>
        <v>0.00268190992069245</v>
      </c>
      <c r="M53" s="13" t="n">
        <f aca="false">K53-L53</f>
        <v>0.0360180889348985</v>
      </c>
      <c r="N53" s="23" t="n">
        <v>30</v>
      </c>
      <c r="O53" s="13" t="n">
        <f aca="false">SUMIFS($M$2:$M$1000,$C$2:$C$1000,"&lt;="&amp;C53)</f>
        <v>16.5059756332676</v>
      </c>
      <c r="P53" s="13" t="n">
        <f aca="false">O53-_xlfn.MAXIFS($O$2:$O$1000,$C$2:$C$1000,"&lt;="&amp;C53)</f>
        <v>0</v>
      </c>
      <c r="Q53" s="1"/>
      <c r="R53" s="1"/>
    </row>
    <row r="54" customFormat="false" ht="15" hidden="false" customHeight="false" outlineLevel="0" collapsed="false">
      <c r="A54" s="17" t="n">
        <v>98</v>
      </c>
      <c r="B54" s="17" t="s">
        <v>112</v>
      </c>
      <c r="C54" s="21" t="n">
        <v>46188.34375</v>
      </c>
      <c r="D54" s="17" t="s">
        <v>59</v>
      </c>
      <c r="E54" s="18" t="n">
        <v>0.98</v>
      </c>
      <c r="F54" s="18" t="n">
        <v>0.98</v>
      </c>
      <c r="G54" s="22" t="n">
        <v>20.4081632653061</v>
      </c>
      <c r="H54" s="13" t="n">
        <f aca="false">G54*F54</f>
        <v>20</v>
      </c>
      <c r="I54" s="17" t="s">
        <v>59</v>
      </c>
      <c r="J54" s="5" t="n">
        <f aca="false">IF(D54=I54,1,0)</f>
        <v>1</v>
      </c>
      <c r="K54" s="13" t="n">
        <f aca="false">J54*G54-H54</f>
        <v>0.408163265306122</v>
      </c>
      <c r="L54" s="13" t="n">
        <f aca="false">G54*Summary!$C$5*F54*(1-F54)+G54*Summary!$C$6</f>
        <v>0.028</v>
      </c>
      <c r="M54" s="13" t="n">
        <f aca="false">K54-L54</f>
        <v>0.380163265306122</v>
      </c>
      <c r="N54" s="23" t="n">
        <v>11.5</v>
      </c>
      <c r="O54" s="13" t="n">
        <f aca="false">SUMIFS($M$2:$M$1000,$C$2:$C$1000,"&lt;="&amp;C54)</f>
        <v>16.8861388985737</v>
      </c>
      <c r="P54" s="13" t="n">
        <f aca="false">O54-_xlfn.MAXIFS($O$2:$O$1000,$C$2:$C$1000,"&lt;="&amp;C54)</f>
        <v>0</v>
      </c>
      <c r="Q54" s="1"/>
      <c r="R54" s="1"/>
    </row>
    <row r="55" customFormat="false" ht="15" hidden="false" customHeight="false" outlineLevel="0" collapsed="false">
      <c r="A55" s="17" t="n">
        <v>100</v>
      </c>
      <c r="B55" s="17" t="s">
        <v>113</v>
      </c>
      <c r="C55" s="21" t="n">
        <v>46188.3506944445</v>
      </c>
      <c r="D55" s="17" t="s">
        <v>61</v>
      </c>
      <c r="E55" s="18" t="n">
        <v>0.98</v>
      </c>
      <c r="F55" s="18" t="n">
        <v>0.98</v>
      </c>
      <c r="G55" s="22" t="n">
        <v>20.4081632653061</v>
      </c>
      <c r="H55" s="13" t="n">
        <f aca="false">G55*F55</f>
        <v>20</v>
      </c>
      <c r="I55" s="17" t="s">
        <v>61</v>
      </c>
      <c r="J55" s="5" t="n">
        <f aca="false">IF(D55=I55,1,0)</f>
        <v>1</v>
      </c>
      <c r="K55" s="13" t="n">
        <f aca="false">J55*G55-H55</f>
        <v>0.408163265306122</v>
      </c>
      <c r="L55" s="13" t="n">
        <f aca="false">G55*Summary!$C$5*F55*(1-F55)+G55*Summary!$C$6</f>
        <v>0.028</v>
      </c>
      <c r="M55" s="13" t="n">
        <f aca="false">K55-L55</f>
        <v>0.380163265306122</v>
      </c>
      <c r="N55" s="23" t="n">
        <v>30</v>
      </c>
      <c r="O55" s="13" t="n">
        <f aca="false">SUMIFS($M$2:$M$1000,$C$2:$C$1000,"&lt;="&amp;C55)</f>
        <v>17.2663021638799</v>
      </c>
      <c r="P55" s="13" t="n">
        <f aca="false">O55-_xlfn.MAXIFS($O$2:$O$1000,$C$2:$C$1000,"&lt;="&amp;C55)</f>
        <v>0</v>
      </c>
      <c r="Q55" s="1"/>
      <c r="R55" s="1"/>
    </row>
    <row r="56" customFormat="false" ht="15" hidden="false" customHeight="false" outlineLevel="0" collapsed="false">
      <c r="A56" s="17" t="n">
        <v>101</v>
      </c>
      <c r="B56" s="17" t="s">
        <v>114</v>
      </c>
      <c r="C56" s="21" t="n">
        <v>46188.3541666667</v>
      </c>
      <c r="D56" s="17" t="s">
        <v>59</v>
      </c>
      <c r="E56" s="18" t="n">
        <v>0.98</v>
      </c>
      <c r="F56" s="18" t="n">
        <v>0.98</v>
      </c>
      <c r="G56" s="22" t="n">
        <v>20.4081632653061</v>
      </c>
      <c r="H56" s="13" t="n">
        <f aca="false">G56*F56</f>
        <v>20</v>
      </c>
      <c r="I56" s="17" t="s">
        <v>59</v>
      </c>
      <c r="J56" s="5" t="n">
        <f aca="false">IF(D56=I56,1,0)</f>
        <v>1</v>
      </c>
      <c r="K56" s="13" t="n">
        <f aca="false">J56*G56-H56</f>
        <v>0.408163265306122</v>
      </c>
      <c r="L56" s="13" t="n">
        <f aca="false">G56*Summary!$C$5*F56*(1-F56)+G56*Summary!$C$6</f>
        <v>0.028</v>
      </c>
      <c r="M56" s="13" t="n">
        <f aca="false">K56-L56</f>
        <v>0.380163265306122</v>
      </c>
      <c r="N56" s="23" t="n">
        <v>30</v>
      </c>
      <c r="O56" s="13" t="n">
        <f aca="false">SUMIFS($M$2:$M$1000,$C$2:$C$1000,"&lt;="&amp;C56)</f>
        <v>17.646465429186</v>
      </c>
      <c r="P56" s="13" t="n">
        <f aca="false">O56-_xlfn.MAXIFS($O$2:$O$1000,$C$2:$C$1000,"&lt;="&amp;C56)</f>
        <v>0</v>
      </c>
      <c r="Q56" s="1"/>
      <c r="R56" s="1"/>
    </row>
    <row r="57" customFormat="false" ht="15" hidden="false" customHeight="false" outlineLevel="0" collapsed="false">
      <c r="A57" s="17" t="n">
        <v>102</v>
      </c>
      <c r="B57" s="17" t="s">
        <v>115</v>
      </c>
      <c r="C57" s="21" t="n">
        <v>46188.3576388889</v>
      </c>
      <c r="D57" s="17" t="s">
        <v>59</v>
      </c>
      <c r="E57" s="18" t="n">
        <v>0.98</v>
      </c>
      <c r="F57" s="18" t="n">
        <v>0.98</v>
      </c>
      <c r="G57" s="22" t="n">
        <v>20.4081632653061</v>
      </c>
      <c r="H57" s="13" t="n">
        <f aca="false">G57*F57</f>
        <v>20</v>
      </c>
      <c r="I57" s="17" t="s">
        <v>59</v>
      </c>
      <c r="J57" s="5" t="n">
        <f aca="false">IF(D57=I57,1,0)</f>
        <v>1</v>
      </c>
      <c r="K57" s="13" t="n">
        <f aca="false">J57*G57-H57</f>
        <v>0.408163265306122</v>
      </c>
      <c r="L57" s="13" t="n">
        <f aca="false">G57*Summary!$C$5*F57*(1-F57)+G57*Summary!$C$6</f>
        <v>0.028</v>
      </c>
      <c r="M57" s="13" t="n">
        <f aca="false">K57-L57</f>
        <v>0.380163265306122</v>
      </c>
      <c r="N57" s="23" t="n">
        <v>29.5</v>
      </c>
      <c r="O57" s="13" t="n">
        <f aca="false">SUMIFS($M$2:$M$1000,$C$2:$C$1000,"&lt;="&amp;C57)</f>
        <v>18.0266286944921</v>
      </c>
      <c r="P57" s="13" t="n">
        <f aca="false">O57-_xlfn.MAXIFS($O$2:$O$1000,$C$2:$C$1000,"&lt;="&amp;C57)</f>
        <v>0</v>
      </c>
      <c r="Q57" s="1"/>
      <c r="R57" s="1"/>
    </row>
    <row r="58" customFormat="false" ht="15" hidden="false" customHeight="false" outlineLevel="0" collapsed="false">
      <c r="A58" s="17" t="n">
        <v>103</v>
      </c>
      <c r="B58" s="17" t="s">
        <v>116</v>
      </c>
      <c r="C58" s="21" t="n">
        <v>46188.3611111111</v>
      </c>
      <c r="D58" s="17" t="s">
        <v>61</v>
      </c>
      <c r="E58" s="18" t="n">
        <v>0.98</v>
      </c>
      <c r="F58" s="18" t="n">
        <v>0.98</v>
      </c>
      <c r="G58" s="22" t="n">
        <v>20.4081632653061</v>
      </c>
      <c r="H58" s="13" t="n">
        <f aca="false">G58*F58</f>
        <v>20</v>
      </c>
      <c r="I58" s="17" t="s">
        <v>61</v>
      </c>
      <c r="J58" s="5" t="n">
        <f aca="false">IF(D58=I58,1,0)</f>
        <v>1</v>
      </c>
      <c r="K58" s="13" t="n">
        <f aca="false">J58*G58-H58</f>
        <v>0.408163265306122</v>
      </c>
      <c r="L58" s="13" t="n">
        <f aca="false">G58*Summary!$C$5*F58*(1-F58)+G58*Summary!$C$6</f>
        <v>0.028</v>
      </c>
      <c r="M58" s="13" t="n">
        <f aca="false">K58-L58</f>
        <v>0.380163265306122</v>
      </c>
      <c r="N58" s="23" t="n">
        <v>4.5</v>
      </c>
      <c r="O58" s="13" t="n">
        <f aca="false">SUMIFS($M$2:$M$1000,$C$2:$C$1000,"&lt;="&amp;C58)</f>
        <v>18.4067919597982</v>
      </c>
      <c r="P58" s="13" t="n">
        <f aca="false">O58-_xlfn.MAXIFS($O$2:$O$1000,$C$2:$C$1000,"&lt;="&amp;C58)</f>
        <v>0</v>
      </c>
      <c r="Q58" s="1"/>
      <c r="R58" s="1"/>
    </row>
    <row r="59" customFormat="false" ht="15" hidden="false" customHeight="false" outlineLevel="0" collapsed="false">
      <c r="A59" s="17" t="n">
        <v>104</v>
      </c>
      <c r="B59" s="17" t="s">
        <v>117</v>
      </c>
      <c r="C59" s="21" t="n">
        <v>46188.3645833333</v>
      </c>
      <c r="D59" s="17" t="s">
        <v>59</v>
      </c>
      <c r="E59" s="18" t="n">
        <v>0.99</v>
      </c>
      <c r="F59" s="18" t="n">
        <v>0.99</v>
      </c>
      <c r="G59" s="22" t="n">
        <v>20.2020202020202</v>
      </c>
      <c r="H59" s="13" t="n">
        <f aca="false">G59*F59</f>
        <v>20</v>
      </c>
      <c r="I59" s="17" t="s">
        <v>59</v>
      </c>
      <c r="J59" s="5" t="n">
        <f aca="false">IF(D59=I59,1,0)</f>
        <v>1</v>
      </c>
      <c r="K59" s="13" t="n">
        <f aca="false">J59*G59-H59</f>
        <v>0.202020202020201</v>
      </c>
      <c r="L59" s="13" t="n">
        <f aca="false">G59*Summary!$C$5*F59*(1-F59)+G59*Summary!$C$6</f>
        <v>0.0139999999999999</v>
      </c>
      <c r="M59" s="13" t="n">
        <f aca="false">K59-L59</f>
        <v>0.188020202020201</v>
      </c>
      <c r="N59" s="23" t="n">
        <v>29</v>
      </c>
      <c r="O59" s="13" t="n">
        <f aca="false">SUMIFS($M$2:$M$1000,$C$2:$C$1000,"&lt;="&amp;C59)</f>
        <v>18.5948121618184</v>
      </c>
      <c r="P59" s="13" t="n">
        <f aca="false">O59-_xlfn.MAXIFS($O$2:$O$1000,$C$2:$C$1000,"&lt;="&amp;C59)</f>
        <v>0</v>
      </c>
      <c r="Q59" s="1"/>
      <c r="R59" s="1"/>
    </row>
    <row r="60" customFormat="false" ht="15" hidden="false" customHeight="false" outlineLevel="0" collapsed="false">
      <c r="A60" s="17" t="n">
        <v>105</v>
      </c>
      <c r="B60" s="17" t="s">
        <v>118</v>
      </c>
      <c r="C60" s="21" t="n">
        <v>46188.3680555556</v>
      </c>
      <c r="D60" s="17" t="s">
        <v>61</v>
      </c>
      <c r="E60" s="18" t="n">
        <v>0.98</v>
      </c>
      <c r="F60" s="18" t="n">
        <v>0.98</v>
      </c>
      <c r="G60" s="22" t="n">
        <v>20.4081632653061</v>
      </c>
      <c r="H60" s="13" t="n">
        <f aca="false">G60*F60</f>
        <v>20</v>
      </c>
      <c r="I60" s="17" t="s">
        <v>61</v>
      </c>
      <c r="J60" s="5" t="n">
        <f aca="false">IF(D60=I60,1,0)</f>
        <v>1</v>
      </c>
      <c r="K60" s="13" t="n">
        <f aca="false">J60*G60-H60</f>
        <v>0.408163265306122</v>
      </c>
      <c r="L60" s="13" t="n">
        <f aca="false">G60*Summary!$C$5*F60*(1-F60)+G60*Summary!$C$6</f>
        <v>0.028</v>
      </c>
      <c r="M60" s="13" t="n">
        <f aca="false">K60-L60</f>
        <v>0.380163265306122</v>
      </c>
      <c r="N60" s="23" t="n">
        <v>4.5</v>
      </c>
      <c r="O60" s="13" t="n">
        <f aca="false">SUMIFS($M$2:$M$1000,$C$2:$C$1000,"&lt;="&amp;C60)</f>
        <v>18.9749754271246</v>
      </c>
      <c r="P60" s="13" t="n">
        <f aca="false">O60-_xlfn.MAXIFS($O$2:$O$1000,$C$2:$C$1000,"&lt;="&amp;C60)</f>
        <v>0</v>
      </c>
      <c r="Q60" s="1"/>
      <c r="R60" s="1"/>
    </row>
    <row r="61" customFormat="false" ht="15" hidden="false" customHeight="false" outlineLevel="0" collapsed="false">
      <c r="A61" s="17" t="n">
        <v>108</v>
      </c>
      <c r="B61" s="17" t="s">
        <v>119</v>
      </c>
      <c r="C61" s="21" t="n">
        <v>46188.3784722222</v>
      </c>
      <c r="D61" s="17" t="s">
        <v>59</v>
      </c>
      <c r="E61" s="18" t="n">
        <v>0.98</v>
      </c>
      <c r="F61" s="18" t="n">
        <v>0.98</v>
      </c>
      <c r="G61" s="22" t="n">
        <v>20.4081632653061</v>
      </c>
      <c r="H61" s="13" t="n">
        <f aca="false">G61*F61</f>
        <v>20</v>
      </c>
      <c r="I61" s="17" t="s">
        <v>59</v>
      </c>
      <c r="J61" s="5" t="n">
        <f aca="false">IF(D61=I61,1,0)</f>
        <v>1</v>
      </c>
      <c r="K61" s="13" t="n">
        <f aca="false">J61*G61-H61</f>
        <v>0.408163265306122</v>
      </c>
      <c r="L61" s="13" t="n">
        <f aca="false">G61*Summary!$C$5*F61*(1-F61)+G61*Summary!$C$6</f>
        <v>0.028</v>
      </c>
      <c r="M61" s="13" t="n">
        <f aca="false">K61-L61</f>
        <v>0.380163265306122</v>
      </c>
      <c r="N61" s="23" t="n">
        <v>7</v>
      </c>
      <c r="O61" s="13" t="n">
        <f aca="false">SUMIFS($M$2:$M$1000,$C$2:$C$1000,"&lt;="&amp;C61)</f>
        <v>19.3551386924307</v>
      </c>
      <c r="P61" s="13" t="n">
        <f aca="false">O61-_xlfn.MAXIFS($O$2:$O$1000,$C$2:$C$1000,"&lt;="&amp;C61)</f>
        <v>0</v>
      </c>
      <c r="Q61" s="1"/>
      <c r="R61" s="1"/>
    </row>
    <row r="62" customFormat="false" ht="15" hidden="false" customHeight="false" outlineLevel="0" collapsed="false">
      <c r="A62" s="17" t="n">
        <v>109</v>
      </c>
      <c r="B62" s="17" t="s">
        <v>120</v>
      </c>
      <c r="C62" s="21" t="n">
        <v>46188.3819444445</v>
      </c>
      <c r="D62" s="17" t="s">
        <v>59</v>
      </c>
      <c r="E62" s="18" t="n">
        <v>0.98</v>
      </c>
      <c r="F62" s="18" t="n">
        <v>0.98</v>
      </c>
      <c r="G62" s="22" t="n">
        <v>20.4081632653061</v>
      </c>
      <c r="H62" s="13" t="n">
        <f aca="false">G62*F62</f>
        <v>20</v>
      </c>
      <c r="I62" s="17" t="s">
        <v>59</v>
      </c>
      <c r="J62" s="5" t="n">
        <f aca="false">IF(D62=I62,1,0)</f>
        <v>1</v>
      </c>
      <c r="K62" s="13" t="n">
        <f aca="false">J62*G62-H62</f>
        <v>0.408163265306122</v>
      </c>
      <c r="L62" s="13" t="n">
        <f aca="false">G62*Summary!$C$5*F62*(1-F62)+G62*Summary!$C$6</f>
        <v>0.028</v>
      </c>
      <c r="M62" s="13" t="n">
        <f aca="false">K62-L62</f>
        <v>0.380163265306122</v>
      </c>
      <c r="N62" s="23" t="n">
        <v>23</v>
      </c>
      <c r="O62" s="13" t="n">
        <f aca="false">SUMIFS($M$2:$M$1000,$C$2:$C$1000,"&lt;="&amp;C62)</f>
        <v>19.7353019577368</v>
      </c>
      <c r="P62" s="13" t="n">
        <f aca="false">O62-_xlfn.MAXIFS($O$2:$O$1000,$C$2:$C$1000,"&lt;="&amp;C62)</f>
        <v>0</v>
      </c>
      <c r="Q62" s="1"/>
      <c r="R62" s="1"/>
    </row>
    <row r="63" customFormat="false" ht="15" hidden="false" customHeight="false" outlineLevel="0" collapsed="false">
      <c r="A63" s="17" t="n">
        <v>110</v>
      </c>
      <c r="B63" s="17" t="s">
        <v>121</v>
      </c>
      <c r="C63" s="21" t="n">
        <v>46188.3854166667</v>
      </c>
      <c r="D63" s="17" t="s">
        <v>61</v>
      </c>
      <c r="E63" s="18" t="n">
        <v>0.98</v>
      </c>
      <c r="F63" s="18" t="n">
        <v>0.98</v>
      </c>
      <c r="G63" s="22" t="n">
        <v>20.4081632653061</v>
      </c>
      <c r="H63" s="13" t="n">
        <f aca="false">G63*F63</f>
        <v>20</v>
      </c>
      <c r="I63" s="17" t="s">
        <v>61</v>
      </c>
      <c r="J63" s="5" t="n">
        <f aca="false">IF(D63=I63,1,0)</f>
        <v>1</v>
      </c>
      <c r="K63" s="13" t="n">
        <f aca="false">J63*G63-H63</f>
        <v>0.408163265306122</v>
      </c>
      <c r="L63" s="13" t="n">
        <f aca="false">G63*Summary!$C$5*F63*(1-F63)+G63*Summary!$C$6</f>
        <v>0.028</v>
      </c>
      <c r="M63" s="13" t="n">
        <f aca="false">K63-L63</f>
        <v>0.380163265306122</v>
      </c>
      <c r="N63" s="23" t="n">
        <v>19.5</v>
      </c>
      <c r="O63" s="13" t="n">
        <f aca="false">SUMIFS($M$2:$M$1000,$C$2:$C$1000,"&lt;="&amp;C63)</f>
        <v>20.1154652230429</v>
      </c>
      <c r="P63" s="13" t="n">
        <f aca="false">O63-_xlfn.MAXIFS($O$2:$O$1000,$C$2:$C$1000,"&lt;="&amp;C63)</f>
        <v>0</v>
      </c>
      <c r="Q63" s="1"/>
      <c r="R63" s="1"/>
    </row>
    <row r="64" customFormat="false" ht="15" hidden="false" customHeight="false" outlineLevel="0" collapsed="false">
      <c r="A64" s="17" t="n">
        <v>113</v>
      </c>
      <c r="B64" s="17" t="s">
        <v>122</v>
      </c>
      <c r="C64" s="21" t="n">
        <v>46188.3958333333</v>
      </c>
      <c r="D64" s="17" t="s">
        <v>61</v>
      </c>
      <c r="E64" s="18" t="n">
        <v>0.98</v>
      </c>
      <c r="F64" s="18" t="n">
        <v>0.98</v>
      </c>
      <c r="G64" s="22" t="n">
        <v>20.4081632653061</v>
      </c>
      <c r="H64" s="13" t="n">
        <f aca="false">G64*F64</f>
        <v>20</v>
      </c>
      <c r="I64" s="17" t="s">
        <v>61</v>
      </c>
      <c r="J64" s="5" t="n">
        <f aca="false">IF(D64=I64,1,0)</f>
        <v>1</v>
      </c>
      <c r="K64" s="13" t="n">
        <f aca="false">J64*G64-H64</f>
        <v>0.408163265306122</v>
      </c>
      <c r="L64" s="13" t="n">
        <f aca="false">G64*Summary!$C$5*F64*(1-F64)+G64*Summary!$C$6</f>
        <v>0.028</v>
      </c>
      <c r="M64" s="13" t="n">
        <f aca="false">K64-L64</f>
        <v>0.380163265306122</v>
      </c>
      <c r="N64" s="23" t="n">
        <v>17.5</v>
      </c>
      <c r="O64" s="13" t="n">
        <f aca="false">SUMIFS($M$2:$M$1000,$C$2:$C$1000,"&lt;="&amp;C64)</f>
        <v>20.495628488349</v>
      </c>
      <c r="P64" s="13" t="n">
        <f aca="false">O64-_xlfn.MAXIFS($O$2:$O$1000,$C$2:$C$1000,"&lt;="&amp;C64)</f>
        <v>0</v>
      </c>
      <c r="Q64" s="1"/>
      <c r="R64" s="1"/>
    </row>
    <row r="65" customFormat="false" ht="15" hidden="false" customHeight="false" outlineLevel="0" collapsed="false">
      <c r="A65" s="17" t="n">
        <v>115</v>
      </c>
      <c r="B65" s="17" t="s">
        <v>123</v>
      </c>
      <c r="C65" s="21" t="n">
        <v>46188.4027777778</v>
      </c>
      <c r="D65" s="17" t="s">
        <v>61</v>
      </c>
      <c r="E65" s="18" t="n">
        <v>0.99</v>
      </c>
      <c r="F65" s="18" t="n">
        <v>0.99</v>
      </c>
      <c r="G65" s="22" t="n">
        <v>20.2020202020202</v>
      </c>
      <c r="H65" s="13" t="n">
        <f aca="false">G65*F65</f>
        <v>20</v>
      </c>
      <c r="I65" s="17" t="s">
        <v>61</v>
      </c>
      <c r="J65" s="5" t="n">
        <f aca="false">IF(D65=I65,1,0)</f>
        <v>1</v>
      </c>
      <c r="K65" s="13" t="n">
        <f aca="false">J65*G65-H65</f>
        <v>0.202020202020201</v>
      </c>
      <c r="L65" s="13" t="n">
        <f aca="false">G65*Summary!$C$5*F65*(1-F65)+G65*Summary!$C$6</f>
        <v>0.0139999999999999</v>
      </c>
      <c r="M65" s="13" t="n">
        <f aca="false">K65-L65</f>
        <v>0.188020202020201</v>
      </c>
      <c r="N65" s="23" t="n">
        <v>30</v>
      </c>
      <c r="O65" s="13" t="n">
        <f aca="false">SUMIFS($M$2:$M$1000,$C$2:$C$1000,"&lt;="&amp;C65)</f>
        <v>20.6836486903692</v>
      </c>
      <c r="P65" s="13" t="n">
        <f aca="false">O65-_xlfn.MAXIFS($O$2:$O$1000,$C$2:$C$1000,"&lt;="&amp;C65)</f>
        <v>0</v>
      </c>
      <c r="Q65" s="1"/>
      <c r="R65" s="1"/>
    </row>
    <row r="66" customFormat="false" ht="15" hidden="false" customHeight="false" outlineLevel="0" collapsed="false">
      <c r="A66" s="17" t="n">
        <v>116</v>
      </c>
      <c r="B66" s="17" t="s">
        <v>124</v>
      </c>
      <c r="C66" s="21" t="n">
        <v>46188.40625</v>
      </c>
      <c r="D66" s="17" t="s">
        <v>59</v>
      </c>
      <c r="E66" s="18" t="n">
        <v>0.98</v>
      </c>
      <c r="F66" s="18" t="n">
        <v>0.98</v>
      </c>
      <c r="G66" s="22" t="n">
        <v>20.4081632653061</v>
      </c>
      <c r="H66" s="13" t="n">
        <f aca="false">G66*F66</f>
        <v>20</v>
      </c>
      <c r="I66" s="17" t="s">
        <v>59</v>
      </c>
      <c r="J66" s="5" t="n">
        <f aca="false">IF(D66=I66,1,0)</f>
        <v>1</v>
      </c>
      <c r="K66" s="13" t="n">
        <f aca="false">J66*G66-H66</f>
        <v>0.408163265306122</v>
      </c>
      <c r="L66" s="13" t="n">
        <f aca="false">G66*Summary!$C$5*F66*(1-F66)+G66*Summary!$C$6</f>
        <v>0.028</v>
      </c>
      <c r="M66" s="13" t="n">
        <f aca="false">K66-L66</f>
        <v>0.380163265306122</v>
      </c>
      <c r="N66" s="23" t="n">
        <v>30</v>
      </c>
      <c r="O66" s="13" t="n">
        <f aca="false">SUMIFS($M$2:$M$1000,$C$2:$C$1000,"&lt;="&amp;C66)</f>
        <v>21.0638119556754</v>
      </c>
      <c r="P66" s="13" t="n">
        <f aca="false">O66-_xlfn.MAXIFS($O$2:$O$1000,$C$2:$C$1000,"&lt;="&amp;C66)</f>
        <v>0</v>
      </c>
      <c r="Q66" s="1"/>
      <c r="R66" s="1"/>
    </row>
    <row r="67" customFormat="false" ht="15" hidden="false" customHeight="false" outlineLevel="0" collapsed="false">
      <c r="A67" s="17" t="n">
        <v>117</v>
      </c>
      <c r="B67" s="17" t="s">
        <v>125</v>
      </c>
      <c r="C67" s="21" t="n">
        <v>46188.4097222222</v>
      </c>
      <c r="D67" s="17" t="s">
        <v>61</v>
      </c>
      <c r="E67" s="18" t="n">
        <v>0.98</v>
      </c>
      <c r="F67" s="18" t="n">
        <v>0.98</v>
      </c>
      <c r="G67" s="22" t="n">
        <v>3.72000002861023</v>
      </c>
      <c r="H67" s="13" t="n">
        <f aca="false">G67*F67</f>
        <v>3.64560002803802</v>
      </c>
      <c r="I67" s="17" t="s">
        <v>61</v>
      </c>
      <c r="J67" s="5" t="n">
        <f aca="false">IF(D67=I67,1,0)</f>
        <v>1</v>
      </c>
      <c r="K67" s="13" t="n">
        <f aca="false">J67*G67-H67</f>
        <v>0.0744000005722048</v>
      </c>
      <c r="L67" s="13" t="n">
        <f aca="false">G67*Summary!$C$5*F67*(1-F67)+G67*Summary!$C$6</f>
        <v>0.00510384003925324</v>
      </c>
      <c r="M67" s="13" t="n">
        <f aca="false">K67-L67</f>
        <v>0.0692961605329515</v>
      </c>
      <c r="N67" s="23" t="n">
        <v>30</v>
      </c>
      <c r="O67" s="13" t="n">
        <f aca="false">SUMIFS($M$2:$M$1000,$C$2:$C$1000,"&lt;="&amp;C67)</f>
        <v>21.1331081162083</v>
      </c>
      <c r="P67" s="13" t="n">
        <f aca="false">O67-_xlfn.MAXIFS($O$2:$O$1000,$C$2:$C$1000,"&lt;="&amp;C67)</f>
        <v>0</v>
      </c>
      <c r="Q67" s="1"/>
      <c r="R67" s="1"/>
    </row>
    <row r="68" customFormat="false" ht="15" hidden="false" customHeight="false" outlineLevel="0" collapsed="false">
      <c r="A68" s="17" t="n">
        <v>118</v>
      </c>
      <c r="B68" s="17" t="s">
        <v>126</v>
      </c>
      <c r="C68" s="21" t="n">
        <v>46188.4131944445</v>
      </c>
      <c r="D68" s="17" t="s">
        <v>59</v>
      </c>
      <c r="E68" s="18" t="n">
        <v>0.98</v>
      </c>
      <c r="F68" s="18" t="n">
        <v>0.98</v>
      </c>
      <c r="G68" s="22" t="n">
        <v>20.4081632653061</v>
      </c>
      <c r="H68" s="13" t="n">
        <f aca="false">G68*F68</f>
        <v>20</v>
      </c>
      <c r="I68" s="17" t="s">
        <v>59</v>
      </c>
      <c r="J68" s="5" t="n">
        <f aca="false">IF(D68=I68,1,0)</f>
        <v>1</v>
      </c>
      <c r="K68" s="13" t="n">
        <f aca="false">J68*G68-H68</f>
        <v>0.408163265306122</v>
      </c>
      <c r="L68" s="13" t="n">
        <f aca="false">G68*Summary!$C$5*F68*(1-F68)+G68*Summary!$C$6</f>
        <v>0.028</v>
      </c>
      <c r="M68" s="13" t="n">
        <f aca="false">K68-L68</f>
        <v>0.380163265306122</v>
      </c>
      <c r="N68" s="23" t="n">
        <v>4.5</v>
      </c>
      <c r="O68" s="13" t="n">
        <f aca="false">SUMIFS($M$2:$M$1000,$C$2:$C$1000,"&lt;="&amp;C68)</f>
        <v>21.5132713815144</v>
      </c>
      <c r="P68" s="13" t="n">
        <f aca="false">O68-_xlfn.MAXIFS($O$2:$O$1000,$C$2:$C$1000,"&lt;="&amp;C68)</f>
        <v>0</v>
      </c>
      <c r="Q68" s="1"/>
      <c r="R68" s="1"/>
    </row>
    <row r="69" customFormat="false" ht="15" hidden="false" customHeight="false" outlineLevel="0" collapsed="false">
      <c r="A69" s="17" t="n">
        <v>119</v>
      </c>
      <c r="B69" s="17" t="s">
        <v>127</v>
      </c>
      <c r="C69" s="21" t="n">
        <v>46188.4166666667</v>
      </c>
      <c r="D69" s="17" t="s">
        <v>59</v>
      </c>
      <c r="E69" s="18" t="n">
        <v>0.99</v>
      </c>
      <c r="F69" s="18" t="n">
        <v>0.99</v>
      </c>
      <c r="G69" s="22" t="n">
        <v>20.2020202020202</v>
      </c>
      <c r="H69" s="13" t="n">
        <f aca="false">G69*F69</f>
        <v>20</v>
      </c>
      <c r="I69" s="17" t="s">
        <v>59</v>
      </c>
      <c r="J69" s="5" t="n">
        <f aca="false">IF(D69=I69,1,0)</f>
        <v>1</v>
      </c>
      <c r="K69" s="13" t="n">
        <f aca="false">J69*G69-H69</f>
        <v>0.202020202020201</v>
      </c>
      <c r="L69" s="13" t="n">
        <f aca="false">G69*Summary!$C$5*F69*(1-F69)+G69*Summary!$C$6</f>
        <v>0.0139999999999999</v>
      </c>
      <c r="M69" s="13" t="n">
        <f aca="false">K69-L69</f>
        <v>0.188020202020201</v>
      </c>
      <c r="N69" s="23" t="n">
        <v>30</v>
      </c>
      <c r="O69" s="13" t="n">
        <f aca="false">SUMIFS($M$2:$M$1000,$C$2:$C$1000,"&lt;="&amp;C69)</f>
        <v>21.7012915835346</v>
      </c>
      <c r="P69" s="13" t="n">
        <f aca="false">O69-_xlfn.MAXIFS($O$2:$O$1000,$C$2:$C$1000,"&lt;="&amp;C69)</f>
        <v>0</v>
      </c>
      <c r="Q69" s="1"/>
      <c r="R69" s="1"/>
    </row>
    <row r="70" customFormat="false" ht="15" hidden="false" customHeight="false" outlineLevel="0" collapsed="false">
      <c r="A70" s="17" t="n">
        <v>120</v>
      </c>
      <c r="B70" s="17" t="s">
        <v>128</v>
      </c>
      <c r="C70" s="21" t="n">
        <v>46188.4201388889</v>
      </c>
      <c r="D70" s="17" t="s">
        <v>59</v>
      </c>
      <c r="E70" s="18" t="n">
        <v>0.99</v>
      </c>
      <c r="F70" s="18" t="n">
        <v>0.99</v>
      </c>
      <c r="G70" s="22" t="n">
        <v>20.2020202020202</v>
      </c>
      <c r="H70" s="13" t="n">
        <f aca="false">G70*F70</f>
        <v>20</v>
      </c>
      <c r="I70" s="17" t="s">
        <v>59</v>
      </c>
      <c r="J70" s="5" t="n">
        <f aca="false">IF(D70=I70,1,0)</f>
        <v>1</v>
      </c>
      <c r="K70" s="13" t="n">
        <f aca="false">J70*G70-H70</f>
        <v>0.202020202020201</v>
      </c>
      <c r="L70" s="13" t="n">
        <f aca="false">G70*Summary!$C$5*F70*(1-F70)+G70*Summary!$C$6</f>
        <v>0.0139999999999999</v>
      </c>
      <c r="M70" s="13" t="n">
        <f aca="false">K70-L70</f>
        <v>0.188020202020201</v>
      </c>
      <c r="N70" s="23" t="n">
        <v>30</v>
      </c>
      <c r="O70" s="13" t="n">
        <f aca="false">SUMIFS($M$2:$M$1000,$C$2:$C$1000,"&lt;="&amp;C70)</f>
        <v>21.8893117855548</v>
      </c>
      <c r="P70" s="13" t="n">
        <f aca="false">O70-_xlfn.MAXIFS($O$2:$O$1000,$C$2:$C$1000,"&lt;="&amp;C70)</f>
        <v>0</v>
      </c>
      <c r="Q70" s="1"/>
      <c r="R70" s="1"/>
    </row>
    <row r="71" customFormat="false" ht="15" hidden="false" customHeight="false" outlineLevel="0" collapsed="false">
      <c r="A71" s="17" t="n">
        <v>122</v>
      </c>
      <c r="B71" s="17" t="s">
        <v>129</v>
      </c>
      <c r="C71" s="21" t="n">
        <v>46188.4270833333</v>
      </c>
      <c r="D71" s="17" t="s">
        <v>59</v>
      </c>
      <c r="E71" s="18" t="n">
        <v>0.99</v>
      </c>
      <c r="F71" s="18" t="n">
        <v>0.99</v>
      </c>
      <c r="G71" s="22" t="n">
        <v>20.2020202020202</v>
      </c>
      <c r="H71" s="13" t="n">
        <f aca="false">G71*F71</f>
        <v>20</v>
      </c>
      <c r="I71" s="17" t="s">
        <v>59</v>
      </c>
      <c r="J71" s="5" t="n">
        <f aca="false">IF(D71=I71,1,0)</f>
        <v>1</v>
      </c>
      <c r="K71" s="13" t="n">
        <f aca="false">J71*G71-H71</f>
        <v>0.202020202020201</v>
      </c>
      <c r="L71" s="13" t="n">
        <f aca="false">G71*Summary!$C$5*F71*(1-F71)+G71*Summary!$C$6</f>
        <v>0.0139999999999999</v>
      </c>
      <c r="M71" s="13" t="n">
        <f aca="false">K71-L71</f>
        <v>0.188020202020201</v>
      </c>
      <c r="N71" s="23" t="n">
        <v>30</v>
      </c>
      <c r="O71" s="13" t="n">
        <f aca="false">SUMIFS($M$2:$M$1000,$C$2:$C$1000,"&lt;="&amp;C71)</f>
        <v>22.077331987575</v>
      </c>
      <c r="P71" s="13" t="n">
        <f aca="false">O71-_xlfn.MAXIFS($O$2:$O$1000,$C$2:$C$1000,"&lt;="&amp;C71)</f>
        <v>0</v>
      </c>
      <c r="Q71" s="1"/>
      <c r="R71" s="1"/>
    </row>
    <row r="72" customFormat="false" ht="15" hidden="false" customHeight="false" outlineLevel="0" collapsed="false">
      <c r="A72" s="17" t="n">
        <v>123</v>
      </c>
      <c r="B72" s="17" t="s">
        <v>130</v>
      </c>
      <c r="C72" s="21" t="n">
        <v>46188.4305555556</v>
      </c>
      <c r="D72" s="17" t="s">
        <v>61</v>
      </c>
      <c r="E72" s="18" t="n">
        <v>0.99</v>
      </c>
      <c r="F72" s="18" t="n">
        <v>0.99</v>
      </c>
      <c r="G72" s="22" t="n">
        <v>20.2020202020202</v>
      </c>
      <c r="H72" s="13" t="n">
        <f aca="false">G72*F72</f>
        <v>20</v>
      </c>
      <c r="I72" s="17" t="s">
        <v>61</v>
      </c>
      <c r="J72" s="5" t="n">
        <f aca="false">IF(D72=I72,1,0)</f>
        <v>1</v>
      </c>
      <c r="K72" s="13" t="n">
        <f aca="false">J72*G72-H72</f>
        <v>0.202020202020201</v>
      </c>
      <c r="L72" s="13" t="n">
        <f aca="false">G72*Summary!$C$5*F72*(1-F72)+G72*Summary!$C$6</f>
        <v>0.0139999999999999</v>
      </c>
      <c r="M72" s="13" t="n">
        <f aca="false">K72-L72</f>
        <v>0.188020202020201</v>
      </c>
      <c r="N72" s="23" t="n">
        <v>30</v>
      </c>
      <c r="O72" s="13" t="n">
        <f aca="false">SUMIFS($M$2:$M$1000,$C$2:$C$1000,"&lt;="&amp;C72)</f>
        <v>22.2653521895952</v>
      </c>
      <c r="P72" s="13" t="n">
        <f aca="false">O72-_xlfn.MAXIFS($O$2:$O$1000,$C$2:$C$1000,"&lt;="&amp;C72)</f>
        <v>0</v>
      </c>
      <c r="Q72" s="1"/>
      <c r="R72" s="1"/>
    </row>
    <row r="73" customFormat="false" ht="15" hidden="false" customHeight="false" outlineLevel="0" collapsed="false">
      <c r="A73" s="17" t="n">
        <v>124</v>
      </c>
      <c r="B73" s="17" t="s">
        <v>131</v>
      </c>
      <c r="C73" s="21" t="n">
        <v>46188.4340277778</v>
      </c>
      <c r="D73" s="17" t="s">
        <v>59</v>
      </c>
      <c r="E73" s="18" t="n">
        <v>0.99</v>
      </c>
      <c r="F73" s="18" t="n">
        <v>0.99</v>
      </c>
      <c r="G73" s="22" t="n">
        <v>20.2020202020202</v>
      </c>
      <c r="H73" s="13" t="n">
        <f aca="false">G73*F73</f>
        <v>20</v>
      </c>
      <c r="I73" s="17" t="s">
        <v>59</v>
      </c>
      <c r="J73" s="5" t="n">
        <f aca="false">IF(D73=I73,1,0)</f>
        <v>1</v>
      </c>
      <c r="K73" s="13" t="n">
        <f aca="false">J73*G73-H73</f>
        <v>0.202020202020201</v>
      </c>
      <c r="L73" s="13" t="n">
        <f aca="false">G73*Summary!$C$5*F73*(1-F73)+G73*Summary!$C$6</f>
        <v>0.0139999999999999</v>
      </c>
      <c r="M73" s="13" t="n">
        <f aca="false">K73-L73</f>
        <v>0.188020202020201</v>
      </c>
      <c r="N73" s="23" t="n">
        <v>30</v>
      </c>
      <c r="O73" s="13" t="n">
        <f aca="false">SUMIFS($M$2:$M$1000,$C$2:$C$1000,"&lt;="&amp;C73)</f>
        <v>22.4533723916154</v>
      </c>
      <c r="P73" s="13" t="n">
        <f aca="false">O73-_xlfn.MAXIFS($O$2:$O$1000,$C$2:$C$1000,"&lt;="&amp;C73)</f>
        <v>0</v>
      </c>
      <c r="Q73" s="1"/>
      <c r="R73" s="1"/>
    </row>
    <row r="74" customFormat="false" ht="15" hidden="false" customHeight="false" outlineLevel="0" collapsed="false">
      <c r="A74" s="17" t="n">
        <v>125</v>
      </c>
      <c r="B74" s="17" t="s">
        <v>132</v>
      </c>
      <c r="C74" s="21" t="n">
        <v>46188.4375</v>
      </c>
      <c r="D74" s="17" t="s">
        <v>61</v>
      </c>
      <c r="E74" s="18" t="n">
        <v>0.99</v>
      </c>
      <c r="F74" s="18" t="n">
        <v>0.99</v>
      </c>
      <c r="G74" s="22" t="n">
        <v>20.2020202020202</v>
      </c>
      <c r="H74" s="13" t="n">
        <f aca="false">G74*F74</f>
        <v>20</v>
      </c>
      <c r="I74" s="17" t="s">
        <v>61</v>
      </c>
      <c r="J74" s="5" t="n">
        <f aca="false">IF(D74=I74,1,0)</f>
        <v>1</v>
      </c>
      <c r="K74" s="13" t="n">
        <f aca="false">J74*G74-H74</f>
        <v>0.202020202020201</v>
      </c>
      <c r="L74" s="13" t="n">
        <f aca="false">G74*Summary!$C$5*F74*(1-F74)+G74*Summary!$C$6</f>
        <v>0.0139999999999999</v>
      </c>
      <c r="M74" s="13" t="n">
        <f aca="false">K74-L74</f>
        <v>0.188020202020201</v>
      </c>
      <c r="N74" s="23" t="n">
        <v>30</v>
      </c>
      <c r="O74" s="13" t="n">
        <f aca="false">SUMIFS($M$2:$M$1000,$C$2:$C$1000,"&lt;="&amp;C74)</f>
        <v>22.6413925936356</v>
      </c>
      <c r="P74" s="13" t="n">
        <f aca="false">O74-_xlfn.MAXIFS($O$2:$O$1000,$C$2:$C$1000,"&lt;="&amp;C74)</f>
        <v>0</v>
      </c>
      <c r="Q74" s="1"/>
      <c r="R74" s="1"/>
    </row>
    <row r="75" customFormat="false" ht="15" hidden="false" customHeight="false" outlineLevel="0" collapsed="false">
      <c r="A75" s="17" t="n">
        <v>126</v>
      </c>
      <c r="B75" s="17" t="s">
        <v>133</v>
      </c>
      <c r="C75" s="21" t="n">
        <v>46188.4409722222</v>
      </c>
      <c r="D75" s="17" t="s">
        <v>59</v>
      </c>
      <c r="E75" s="18" t="n">
        <v>0.98</v>
      </c>
      <c r="F75" s="18" t="n">
        <v>0.98</v>
      </c>
      <c r="G75" s="22" t="n">
        <v>20.4081632653061</v>
      </c>
      <c r="H75" s="13" t="n">
        <f aca="false">G75*F75</f>
        <v>20</v>
      </c>
      <c r="I75" s="17" t="s">
        <v>59</v>
      </c>
      <c r="J75" s="5" t="n">
        <f aca="false">IF(D75=I75,1,0)</f>
        <v>1</v>
      </c>
      <c r="K75" s="13" t="n">
        <f aca="false">J75*G75-H75</f>
        <v>0.408163265306122</v>
      </c>
      <c r="L75" s="13" t="n">
        <f aca="false">G75*Summary!$C$5*F75*(1-F75)+G75*Summary!$C$6</f>
        <v>0.028</v>
      </c>
      <c r="M75" s="13" t="n">
        <f aca="false">K75-L75</f>
        <v>0.380163265306122</v>
      </c>
      <c r="N75" s="23" t="n">
        <v>4.5</v>
      </c>
      <c r="O75" s="13" t="n">
        <f aca="false">SUMIFS($M$2:$M$1000,$C$2:$C$1000,"&lt;="&amp;C75)</f>
        <v>23.0215558589418</v>
      </c>
      <c r="P75" s="13" t="n">
        <f aca="false">O75-_xlfn.MAXIFS($O$2:$O$1000,$C$2:$C$1000,"&lt;="&amp;C75)</f>
        <v>0</v>
      </c>
      <c r="Q75" s="1"/>
      <c r="R75" s="1"/>
    </row>
    <row r="76" customFormat="false" ht="15" hidden="false" customHeight="false" outlineLevel="0" collapsed="false">
      <c r="A76" s="17" t="n">
        <v>130</v>
      </c>
      <c r="B76" s="17" t="s">
        <v>134</v>
      </c>
      <c r="C76" s="21" t="n">
        <v>46188.4548611111</v>
      </c>
      <c r="D76" s="17" t="s">
        <v>59</v>
      </c>
      <c r="E76" s="18" t="n">
        <v>0.98</v>
      </c>
      <c r="F76" s="18" t="n">
        <v>0.98</v>
      </c>
      <c r="G76" s="22" t="n">
        <v>20.4081632653061</v>
      </c>
      <c r="H76" s="13" t="n">
        <f aca="false">G76*F76</f>
        <v>20</v>
      </c>
      <c r="I76" s="17" t="s">
        <v>59</v>
      </c>
      <c r="J76" s="5" t="n">
        <f aca="false">IF(D76=I76,1,0)</f>
        <v>1</v>
      </c>
      <c r="K76" s="13" t="n">
        <f aca="false">J76*G76-H76</f>
        <v>0.408163265306122</v>
      </c>
      <c r="L76" s="13" t="n">
        <f aca="false">G76*Summary!$C$5*F76*(1-F76)+G76*Summary!$C$6</f>
        <v>0.028</v>
      </c>
      <c r="M76" s="13" t="n">
        <f aca="false">K76-L76</f>
        <v>0.380163265306122</v>
      </c>
      <c r="N76" s="23" t="n">
        <v>18.5</v>
      </c>
      <c r="O76" s="13" t="n">
        <f aca="false">SUMIFS($M$2:$M$1000,$C$2:$C$1000,"&lt;="&amp;C76)</f>
        <v>23.4017191242479</v>
      </c>
      <c r="P76" s="13" t="n">
        <f aca="false">O76-_xlfn.MAXIFS($O$2:$O$1000,$C$2:$C$1000,"&lt;="&amp;C76)</f>
        <v>0</v>
      </c>
      <c r="Q76" s="1"/>
      <c r="R76" s="1"/>
    </row>
    <row r="77" customFormat="false" ht="15" hidden="false" customHeight="false" outlineLevel="0" collapsed="false">
      <c r="A77" s="17" t="n">
        <v>131</v>
      </c>
      <c r="B77" s="17" t="s">
        <v>135</v>
      </c>
      <c r="C77" s="21" t="n">
        <v>46188.4583333333</v>
      </c>
      <c r="D77" s="17" t="s">
        <v>59</v>
      </c>
      <c r="E77" s="18" t="n">
        <v>0.99</v>
      </c>
      <c r="F77" s="18" t="n">
        <v>0.99</v>
      </c>
      <c r="G77" s="22" t="n">
        <v>20.2020202020202</v>
      </c>
      <c r="H77" s="13" t="n">
        <f aca="false">G77*F77</f>
        <v>20</v>
      </c>
      <c r="I77" s="17" t="s">
        <v>59</v>
      </c>
      <c r="J77" s="5" t="n">
        <f aca="false">IF(D77=I77,1,0)</f>
        <v>1</v>
      </c>
      <c r="K77" s="13" t="n">
        <f aca="false">J77*G77-H77</f>
        <v>0.202020202020201</v>
      </c>
      <c r="L77" s="13" t="n">
        <f aca="false">G77*Summary!$C$5*F77*(1-F77)+G77*Summary!$C$6</f>
        <v>0.0139999999999999</v>
      </c>
      <c r="M77" s="13" t="n">
        <f aca="false">K77-L77</f>
        <v>0.188020202020201</v>
      </c>
      <c r="N77" s="23" t="n">
        <v>30</v>
      </c>
      <c r="O77" s="13" t="n">
        <f aca="false">SUMIFS($M$2:$M$1000,$C$2:$C$1000,"&lt;="&amp;C77)</f>
        <v>23.5897393262681</v>
      </c>
      <c r="P77" s="13" t="n">
        <f aca="false">O77-_xlfn.MAXIFS($O$2:$O$1000,$C$2:$C$1000,"&lt;="&amp;C77)</f>
        <v>0</v>
      </c>
      <c r="Q77" s="1"/>
      <c r="R77" s="1"/>
    </row>
    <row r="78" customFormat="false" ht="15" hidden="false" customHeight="false" outlineLevel="0" collapsed="false">
      <c r="A78" s="17" t="n">
        <v>132</v>
      </c>
      <c r="B78" s="17" t="s">
        <v>136</v>
      </c>
      <c r="C78" s="21" t="n">
        <v>46188.4618055556</v>
      </c>
      <c r="D78" s="17" t="s">
        <v>61</v>
      </c>
      <c r="E78" s="18" t="n">
        <v>0.99</v>
      </c>
      <c r="F78" s="18" t="n">
        <v>0.99</v>
      </c>
      <c r="G78" s="22" t="n">
        <v>20.2020202020202</v>
      </c>
      <c r="H78" s="13" t="n">
        <f aca="false">G78*F78</f>
        <v>20</v>
      </c>
      <c r="I78" s="17" t="s">
        <v>61</v>
      </c>
      <c r="J78" s="5" t="n">
        <f aca="false">IF(D78=I78,1,0)</f>
        <v>1</v>
      </c>
      <c r="K78" s="13" t="n">
        <f aca="false">J78*G78-H78</f>
        <v>0.202020202020201</v>
      </c>
      <c r="L78" s="13" t="n">
        <f aca="false">G78*Summary!$C$5*F78*(1-F78)+G78*Summary!$C$6</f>
        <v>0.0139999999999999</v>
      </c>
      <c r="M78" s="13" t="n">
        <f aca="false">K78-L78</f>
        <v>0.188020202020201</v>
      </c>
      <c r="N78" s="23" t="n">
        <v>5</v>
      </c>
      <c r="O78" s="13" t="n">
        <f aca="false">SUMIFS($M$2:$M$1000,$C$2:$C$1000,"&lt;="&amp;C78)</f>
        <v>23.7777595282883</v>
      </c>
      <c r="P78" s="13" t="n">
        <f aca="false">O78-_xlfn.MAXIFS($O$2:$O$1000,$C$2:$C$1000,"&lt;="&amp;C78)</f>
        <v>0</v>
      </c>
      <c r="Q78" s="1"/>
      <c r="R78" s="1"/>
    </row>
    <row r="79" customFormat="false" ht="15" hidden="false" customHeight="false" outlineLevel="0" collapsed="false">
      <c r="A79" s="17" t="n">
        <v>133</v>
      </c>
      <c r="B79" s="17" t="s">
        <v>137</v>
      </c>
      <c r="C79" s="21" t="n">
        <v>46188.4652777778</v>
      </c>
      <c r="D79" s="17" t="s">
        <v>59</v>
      </c>
      <c r="E79" s="18" t="n">
        <v>0.99</v>
      </c>
      <c r="F79" s="18" t="n">
        <v>0.99</v>
      </c>
      <c r="G79" s="22" t="n">
        <v>20.2020202020202</v>
      </c>
      <c r="H79" s="13" t="n">
        <f aca="false">G79*F79</f>
        <v>20</v>
      </c>
      <c r="I79" s="17" t="s">
        <v>59</v>
      </c>
      <c r="J79" s="5" t="n">
        <f aca="false">IF(D79=I79,1,0)</f>
        <v>1</v>
      </c>
      <c r="K79" s="13" t="n">
        <f aca="false">J79*G79-H79</f>
        <v>0.202020202020201</v>
      </c>
      <c r="L79" s="13" t="n">
        <f aca="false">G79*Summary!$C$5*F79*(1-F79)+G79*Summary!$C$6</f>
        <v>0.0139999999999999</v>
      </c>
      <c r="M79" s="13" t="n">
        <f aca="false">K79-L79</f>
        <v>0.188020202020201</v>
      </c>
      <c r="N79" s="23" t="n">
        <v>30</v>
      </c>
      <c r="O79" s="13" t="n">
        <f aca="false">SUMIFS($M$2:$M$1000,$C$2:$C$1000,"&lt;="&amp;C79)</f>
        <v>23.9657797303085</v>
      </c>
      <c r="P79" s="13" t="n">
        <f aca="false">O79-_xlfn.MAXIFS($O$2:$O$1000,$C$2:$C$1000,"&lt;="&amp;C79)</f>
        <v>0</v>
      </c>
      <c r="Q79" s="1"/>
      <c r="R79" s="1"/>
    </row>
    <row r="80" customFormat="false" ht="15" hidden="false" customHeight="false" outlineLevel="0" collapsed="false">
      <c r="A80" s="17" t="n">
        <v>134</v>
      </c>
      <c r="B80" s="17" t="s">
        <v>138</v>
      </c>
      <c r="C80" s="21" t="n">
        <v>46188.46875</v>
      </c>
      <c r="D80" s="17" t="s">
        <v>61</v>
      </c>
      <c r="E80" s="18" t="n">
        <v>0.98</v>
      </c>
      <c r="F80" s="18" t="n">
        <v>0.98</v>
      </c>
      <c r="G80" s="22" t="n">
        <v>20.4081632653061</v>
      </c>
      <c r="H80" s="13" t="n">
        <f aca="false">G80*F80</f>
        <v>20</v>
      </c>
      <c r="I80" s="17" t="s">
        <v>61</v>
      </c>
      <c r="J80" s="5" t="n">
        <f aca="false">IF(D80=I80,1,0)</f>
        <v>1</v>
      </c>
      <c r="K80" s="13" t="n">
        <f aca="false">J80*G80-H80</f>
        <v>0.408163265306122</v>
      </c>
      <c r="L80" s="13" t="n">
        <f aca="false">G80*Summary!$C$5*F80*(1-F80)+G80*Summary!$C$6</f>
        <v>0.028</v>
      </c>
      <c r="M80" s="13" t="n">
        <f aca="false">K80-L80</f>
        <v>0.380163265306122</v>
      </c>
      <c r="N80" s="23" t="n">
        <v>12</v>
      </c>
      <c r="O80" s="13" t="n">
        <f aca="false">SUMIFS($M$2:$M$1000,$C$2:$C$1000,"&lt;="&amp;C80)</f>
        <v>24.3459429956146</v>
      </c>
      <c r="P80" s="13" t="n">
        <f aca="false">O80-_xlfn.MAXIFS($O$2:$O$1000,$C$2:$C$1000,"&lt;="&amp;C80)</f>
        <v>0</v>
      </c>
      <c r="Q80" s="1"/>
      <c r="R80" s="1"/>
    </row>
    <row r="81" customFormat="false" ht="15" hidden="false" customHeight="false" outlineLevel="0" collapsed="false">
      <c r="A81" s="17" t="n">
        <v>136</v>
      </c>
      <c r="B81" s="17" t="s">
        <v>139</v>
      </c>
      <c r="C81" s="21" t="n">
        <v>46188.4756944445</v>
      </c>
      <c r="D81" s="17" t="s">
        <v>59</v>
      </c>
      <c r="E81" s="18" t="n">
        <v>0.99</v>
      </c>
      <c r="F81" s="18" t="n">
        <v>0.99</v>
      </c>
      <c r="G81" s="22" t="n">
        <v>20.2020202020202</v>
      </c>
      <c r="H81" s="13" t="n">
        <f aca="false">G81*F81</f>
        <v>20</v>
      </c>
      <c r="I81" s="17" t="s">
        <v>59</v>
      </c>
      <c r="J81" s="5" t="n">
        <f aca="false">IF(D81=I81,1,0)</f>
        <v>1</v>
      </c>
      <c r="K81" s="13" t="n">
        <f aca="false">J81*G81-H81</f>
        <v>0.202020202020201</v>
      </c>
      <c r="L81" s="13" t="n">
        <f aca="false">G81*Summary!$C$5*F81*(1-F81)+G81*Summary!$C$6</f>
        <v>0.0139999999999999</v>
      </c>
      <c r="M81" s="13" t="n">
        <f aca="false">K81-L81</f>
        <v>0.188020202020201</v>
      </c>
      <c r="N81" s="23" t="n">
        <v>30</v>
      </c>
      <c r="O81" s="13" t="n">
        <f aca="false">SUMIFS($M$2:$M$1000,$C$2:$C$1000,"&lt;="&amp;C81)</f>
        <v>24.5339631976348</v>
      </c>
      <c r="P81" s="13" t="n">
        <f aca="false">O81-_xlfn.MAXIFS($O$2:$O$1000,$C$2:$C$1000,"&lt;="&amp;C81)</f>
        <v>0</v>
      </c>
      <c r="Q81" s="1"/>
      <c r="R81" s="1"/>
    </row>
    <row r="82" customFormat="false" ht="15" hidden="false" customHeight="false" outlineLevel="0" collapsed="false">
      <c r="A82" s="17" t="n">
        <v>139</v>
      </c>
      <c r="B82" s="17" t="s">
        <v>140</v>
      </c>
      <c r="C82" s="21" t="n">
        <v>46188.4861111111</v>
      </c>
      <c r="D82" s="17" t="s">
        <v>61</v>
      </c>
      <c r="E82" s="18" t="n">
        <v>0.99</v>
      </c>
      <c r="F82" s="18" t="n">
        <v>0.99</v>
      </c>
      <c r="G82" s="22" t="n">
        <v>20.2020202020202</v>
      </c>
      <c r="H82" s="13" t="n">
        <f aca="false">G82*F82</f>
        <v>20</v>
      </c>
      <c r="I82" s="17" t="s">
        <v>61</v>
      </c>
      <c r="J82" s="5" t="n">
        <f aca="false">IF(D82=I82,1,0)</f>
        <v>1</v>
      </c>
      <c r="K82" s="13" t="n">
        <f aca="false">J82*G82-H82</f>
        <v>0.202020202020201</v>
      </c>
      <c r="L82" s="13" t="n">
        <f aca="false">G82*Summary!$C$5*F82*(1-F82)+G82*Summary!$C$6</f>
        <v>0.0139999999999999</v>
      </c>
      <c r="M82" s="13" t="n">
        <f aca="false">K82-L82</f>
        <v>0.188020202020201</v>
      </c>
      <c r="N82" s="23" t="n">
        <v>30</v>
      </c>
      <c r="O82" s="13" t="n">
        <f aca="false">SUMIFS($M$2:$M$1000,$C$2:$C$1000,"&lt;="&amp;C82)</f>
        <v>24.721983399655</v>
      </c>
      <c r="P82" s="13" t="n">
        <f aca="false">O82-_xlfn.MAXIFS($O$2:$O$1000,$C$2:$C$1000,"&lt;="&amp;C82)</f>
        <v>0</v>
      </c>
      <c r="Q82" s="1"/>
      <c r="R82" s="1"/>
    </row>
    <row r="83" customFormat="false" ht="15" hidden="false" customHeight="false" outlineLevel="0" collapsed="false">
      <c r="A83" s="17" t="n">
        <v>140</v>
      </c>
      <c r="B83" s="17" t="s">
        <v>141</v>
      </c>
      <c r="C83" s="21" t="n">
        <v>46188.4895833333</v>
      </c>
      <c r="D83" s="17" t="s">
        <v>61</v>
      </c>
      <c r="E83" s="18" t="n">
        <v>0.98</v>
      </c>
      <c r="F83" s="18" t="n">
        <v>0.98</v>
      </c>
      <c r="G83" s="22" t="n">
        <v>20.4081632653061</v>
      </c>
      <c r="H83" s="13" t="n">
        <f aca="false">G83*F83</f>
        <v>20</v>
      </c>
      <c r="I83" s="17" t="s">
        <v>61</v>
      </c>
      <c r="J83" s="5" t="n">
        <f aca="false">IF(D83=I83,1,0)</f>
        <v>1</v>
      </c>
      <c r="K83" s="13" t="n">
        <f aca="false">J83*G83-H83</f>
        <v>0.408163265306122</v>
      </c>
      <c r="L83" s="13" t="n">
        <f aca="false">G83*Summary!$C$5*F83*(1-F83)+G83*Summary!$C$6</f>
        <v>0.028</v>
      </c>
      <c r="M83" s="13" t="n">
        <f aca="false">K83-L83</f>
        <v>0.380163265306122</v>
      </c>
      <c r="N83" s="23" t="n">
        <v>23</v>
      </c>
      <c r="O83" s="13" t="n">
        <f aca="false">SUMIFS($M$2:$M$1000,$C$2:$C$1000,"&lt;="&amp;C83)</f>
        <v>25.1021466649611</v>
      </c>
      <c r="P83" s="13" t="n">
        <f aca="false">O83-_xlfn.MAXIFS($O$2:$O$1000,$C$2:$C$1000,"&lt;="&amp;C83)</f>
        <v>0</v>
      </c>
      <c r="Q83" s="1"/>
      <c r="R83" s="1"/>
    </row>
    <row r="84" customFormat="false" ht="15" hidden="false" customHeight="false" outlineLevel="0" collapsed="false">
      <c r="A84" s="17" t="n">
        <v>145</v>
      </c>
      <c r="B84" s="17" t="s">
        <v>142</v>
      </c>
      <c r="C84" s="21" t="n">
        <v>46188.5069444445</v>
      </c>
      <c r="D84" s="17" t="s">
        <v>59</v>
      </c>
      <c r="E84" s="18" t="n">
        <v>0.99</v>
      </c>
      <c r="F84" s="18" t="n">
        <v>0.99</v>
      </c>
      <c r="G84" s="22" t="n">
        <v>20.2020202020202</v>
      </c>
      <c r="H84" s="13" t="n">
        <f aca="false">G84*F84</f>
        <v>20</v>
      </c>
      <c r="I84" s="17" t="s">
        <v>59</v>
      </c>
      <c r="J84" s="5" t="n">
        <f aca="false">IF(D84=I84,1,0)</f>
        <v>1</v>
      </c>
      <c r="K84" s="13" t="n">
        <f aca="false">J84*G84-H84</f>
        <v>0.202020202020201</v>
      </c>
      <c r="L84" s="13" t="n">
        <f aca="false">G84*Summary!$C$5*F84*(1-F84)+G84*Summary!$C$6</f>
        <v>0.0139999999999999</v>
      </c>
      <c r="M84" s="13" t="n">
        <f aca="false">K84-L84</f>
        <v>0.188020202020201</v>
      </c>
      <c r="N84" s="23" t="n">
        <v>30</v>
      </c>
      <c r="O84" s="13" t="n">
        <f aca="false">SUMIFS($M$2:$M$1000,$C$2:$C$1000,"&lt;="&amp;C84)</f>
        <v>25.2901668669813</v>
      </c>
      <c r="P84" s="13" t="n">
        <f aca="false">O84-_xlfn.MAXIFS($O$2:$O$1000,$C$2:$C$1000,"&lt;="&amp;C84)</f>
        <v>0</v>
      </c>
      <c r="Q84" s="1"/>
      <c r="R84" s="1"/>
    </row>
    <row r="85" customFormat="false" ht="15" hidden="false" customHeight="false" outlineLevel="0" collapsed="false">
      <c r="A85" s="17" t="n">
        <v>147</v>
      </c>
      <c r="B85" s="17" t="s">
        <v>143</v>
      </c>
      <c r="C85" s="21" t="n">
        <v>46188.5138888889</v>
      </c>
      <c r="D85" s="17" t="s">
        <v>59</v>
      </c>
      <c r="E85" s="18" t="n">
        <v>0.98</v>
      </c>
      <c r="F85" s="18" t="n">
        <v>0.98</v>
      </c>
      <c r="G85" s="22" t="n">
        <v>20.4081632653061</v>
      </c>
      <c r="H85" s="13" t="n">
        <f aca="false">G85*F85</f>
        <v>20</v>
      </c>
      <c r="I85" s="17" t="s">
        <v>59</v>
      </c>
      <c r="J85" s="5" t="n">
        <f aca="false">IF(D85=I85,1,0)</f>
        <v>1</v>
      </c>
      <c r="K85" s="13" t="n">
        <f aca="false">J85*G85-H85</f>
        <v>0.408163265306122</v>
      </c>
      <c r="L85" s="13" t="n">
        <f aca="false">G85*Summary!$C$5*F85*(1-F85)+G85*Summary!$C$6</f>
        <v>0.028</v>
      </c>
      <c r="M85" s="13" t="n">
        <f aca="false">K85-L85</f>
        <v>0.380163265306122</v>
      </c>
      <c r="N85" s="23" t="n">
        <v>30</v>
      </c>
      <c r="O85" s="13" t="n">
        <f aca="false">SUMIFS($M$2:$M$1000,$C$2:$C$1000,"&lt;="&amp;C85)</f>
        <v>25.6703301322875</v>
      </c>
      <c r="P85" s="13" t="n">
        <f aca="false">O85-_xlfn.MAXIFS($O$2:$O$1000,$C$2:$C$1000,"&lt;="&amp;C85)</f>
        <v>0</v>
      </c>
      <c r="Q85" s="1"/>
      <c r="R85" s="1"/>
    </row>
    <row r="86" customFormat="false" ht="15" hidden="false" customHeight="false" outlineLevel="0" collapsed="false">
      <c r="A86" s="17" t="n">
        <v>149</v>
      </c>
      <c r="B86" s="17" t="s">
        <v>144</v>
      </c>
      <c r="C86" s="21" t="n">
        <v>46188.5208333333</v>
      </c>
      <c r="D86" s="17" t="s">
        <v>61</v>
      </c>
      <c r="E86" s="18" t="n">
        <v>0.98</v>
      </c>
      <c r="F86" s="18" t="n">
        <v>0.98</v>
      </c>
      <c r="G86" s="22" t="n">
        <v>20.4081632653061</v>
      </c>
      <c r="H86" s="13" t="n">
        <f aca="false">G86*F86</f>
        <v>20</v>
      </c>
      <c r="I86" s="17" t="s">
        <v>61</v>
      </c>
      <c r="J86" s="5" t="n">
        <f aca="false">IF(D86=I86,1,0)</f>
        <v>1</v>
      </c>
      <c r="K86" s="13" t="n">
        <f aca="false">J86*G86-H86</f>
        <v>0.408163265306122</v>
      </c>
      <c r="L86" s="13" t="n">
        <f aca="false">G86*Summary!$C$5*F86*(1-F86)+G86*Summary!$C$6</f>
        <v>0.028</v>
      </c>
      <c r="M86" s="13" t="n">
        <f aca="false">K86-L86</f>
        <v>0.380163265306122</v>
      </c>
      <c r="N86" s="23" t="n">
        <v>3</v>
      </c>
      <c r="O86" s="13" t="n">
        <f aca="false">SUMIFS($M$2:$M$1000,$C$2:$C$1000,"&lt;="&amp;C86)</f>
        <v>26.0504933975936</v>
      </c>
      <c r="P86" s="13" t="n">
        <f aca="false">O86-_xlfn.MAXIFS($O$2:$O$1000,$C$2:$C$1000,"&lt;="&amp;C86)</f>
        <v>0</v>
      </c>
      <c r="Q86" s="1"/>
      <c r="R86" s="1"/>
    </row>
    <row r="87" customFormat="false" ht="15" hidden="false" customHeight="false" outlineLevel="0" collapsed="false">
      <c r="A87" s="17" t="n">
        <v>150</v>
      </c>
      <c r="B87" s="17" t="s">
        <v>145</v>
      </c>
      <c r="C87" s="21" t="n">
        <v>46188.5243055556</v>
      </c>
      <c r="D87" s="17" t="s">
        <v>61</v>
      </c>
      <c r="E87" s="18" t="n">
        <v>0.98</v>
      </c>
      <c r="F87" s="18" t="n">
        <v>0.98</v>
      </c>
      <c r="G87" s="22" t="n">
        <v>20.4081632653061</v>
      </c>
      <c r="H87" s="13" t="n">
        <f aca="false">G87*F87</f>
        <v>20</v>
      </c>
      <c r="I87" s="17" t="s">
        <v>61</v>
      </c>
      <c r="J87" s="5" t="n">
        <f aca="false">IF(D87=I87,1,0)</f>
        <v>1</v>
      </c>
      <c r="K87" s="13" t="n">
        <f aca="false">J87*G87-H87</f>
        <v>0.408163265306122</v>
      </c>
      <c r="L87" s="13" t="n">
        <f aca="false">G87*Summary!$C$5*F87*(1-F87)+G87*Summary!$C$6</f>
        <v>0.028</v>
      </c>
      <c r="M87" s="13" t="n">
        <f aca="false">K87-L87</f>
        <v>0.380163265306122</v>
      </c>
      <c r="N87" s="23" t="n">
        <v>11.5</v>
      </c>
      <c r="O87" s="13" t="n">
        <f aca="false">SUMIFS($M$2:$M$1000,$C$2:$C$1000,"&lt;="&amp;C87)</f>
        <v>26.4306566628997</v>
      </c>
      <c r="P87" s="13" t="n">
        <f aca="false">O87-_xlfn.MAXIFS($O$2:$O$1000,$C$2:$C$1000,"&lt;="&amp;C87)</f>
        <v>0</v>
      </c>
      <c r="Q87" s="1"/>
      <c r="R87" s="1"/>
    </row>
    <row r="88" customFormat="false" ht="15" hidden="false" customHeight="false" outlineLevel="0" collapsed="false">
      <c r="A88" s="17" t="n">
        <v>153</v>
      </c>
      <c r="B88" s="17" t="s">
        <v>146</v>
      </c>
      <c r="C88" s="21" t="n">
        <v>46188.5347222222</v>
      </c>
      <c r="D88" s="17" t="s">
        <v>59</v>
      </c>
      <c r="E88" s="18" t="n">
        <v>0.98</v>
      </c>
      <c r="F88" s="18" t="n">
        <v>0.98</v>
      </c>
      <c r="G88" s="22" t="n">
        <v>20.4081632653061</v>
      </c>
      <c r="H88" s="13" t="n">
        <f aca="false">G88*F88</f>
        <v>20</v>
      </c>
      <c r="I88" s="17" t="s">
        <v>59</v>
      </c>
      <c r="J88" s="5" t="n">
        <f aca="false">IF(D88=I88,1,0)</f>
        <v>1</v>
      </c>
      <c r="K88" s="13" t="n">
        <f aca="false">J88*G88-H88</f>
        <v>0.408163265306122</v>
      </c>
      <c r="L88" s="13" t="n">
        <f aca="false">G88*Summary!$C$5*F88*(1-F88)+G88*Summary!$C$6</f>
        <v>0.028</v>
      </c>
      <c r="M88" s="13" t="n">
        <f aca="false">K88-L88</f>
        <v>0.380163265306122</v>
      </c>
      <c r="N88" s="23" t="n">
        <v>16.5</v>
      </c>
      <c r="O88" s="13" t="n">
        <f aca="false">SUMIFS($M$2:$M$1000,$C$2:$C$1000,"&lt;="&amp;C88)</f>
        <v>26.8108199282058</v>
      </c>
      <c r="P88" s="13" t="n">
        <f aca="false">O88-_xlfn.MAXIFS($O$2:$O$1000,$C$2:$C$1000,"&lt;="&amp;C88)</f>
        <v>0</v>
      </c>
      <c r="Q88" s="1"/>
      <c r="R88" s="1"/>
    </row>
    <row r="89" customFormat="false" ht="15" hidden="false" customHeight="false" outlineLevel="0" collapsed="false">
      <c r="A89" s="17" t="n">
        <v>156</v>
      </c>
      <c r="B89" s="17" t="s">
        <v>147</v>
      </c>
      <c r="C89" s="21" t="n">
        <v>46188.5451388889</v>
      </c>
      <c r="D89" s="17" t="s">
        <v>61</v>
      </c>
      <c r="E89" s="18" t="n">
        <v>0.98</v>
      </c>
      <c r="F89" s="18" t="n">
        <v>0.98</v>
      </c>
      <c r="G89" s="22" t="n">
        <v>20.4081632653061</v>
      </c>
      <c r="H89" s="13" t="n">
        <f aca="false">G89*F89</f>
        <v>20</v>
      </c>
      <c r="I89" s="17" t="s">
        <v>61</v>
      </c>
      <c r="J89" s="5" t="n">
        <f aca="false">IF(D89=I89,1,0)</f>
        <v>1</v>
      </c>
      <c r="K89" s="13" t="n">
        <f aca="false">J89*G89-H89</f>
        <v>0.408163265306122</v>
      </c>
      <c r="L89" s="13" t="n">
        <f aca="false">G89*Summary!$C$5*F89*(1-F89)+G89*Summary!$C$6</f>
        <v>0.028</v>
      </c>
      <c r="M89" s="13" t="n">
        <f aca="false">K89-L89</f>
        <v>0.380163265306122</v>
      </c>
      <c r="N89" s="23" t="n">
        <v>15.5</v>
      </c>
      <c r="O89" s="13" t="n">
        <f aca="false">SUMIFS($M$2:$M$1000,$C$2:$C$1000,"&lt;="&amp;C89)</f>
        <v>27.190983193512</v>
      </c>
      <c r="P89" s="13" t="n">
        <f aca="false">O89-_xlfn.MAXIFS($O$2:$O$1000,$C$2:$C$1000,"&lt;="&amp;C89)</f>
        <v>0</v>
      </c>
      <c r="Q89" s="1"/>
      <c r="R89" s="1"/>
    </row>
    <row r="90" customFormat="false" ht="15" hidden="false" customHeight="false" outlineLevel="0" collapsed="false">
      <c r="A90" s="17" t="n">
        <v>157</v>
      </c>
      <c r="B90" s="17" t="s">
        <v>148</v>
      </c>
      <c r="C90" s="21" t="n">
        <v>46188.5486111111</v>
      </c>
      <c r="D90" s="17" t="s">
        <v>59</v>
      </c>
      <c r="E90" s="18" t="n">
        <v>0.99</v>
      </c>
      <c r="F90" s="18" t="n">
        <v>0.99</v>
      </c>
      <c r="G90" s="22" t="n">
        <v>20.2020202020202</v>
      </c>
      <c r="H90" s="13" t="n">
        <f aca="false">G90*F90</f>
        <v>20</v>
      </c>
      <c r="I90" s="17" t="s">
        <v>59</v>
      </c>
      <c r="J90" s="5" t="n">
        <f aca="false">IF(D90=I90,1,0)</f>
        <v>1</v>
      </c>
      <c r="K90" s="13" t="n">
        <f aca="false">J90*G90-H90</f>
        <v>0.202020202020201</v>
      </c>
      <c r="L90" s="13" t="n">
        <f aca="false">G90*Summary!$C$5*F90*(1-F90)+G90*Summary!$C$6</f>
        <v>0.0139999999999999</v>
      </c>
      <c r="M90" s="13" t="n">
        <f aca="false">K90-L90</f>
        <v>0.188020202020201</v>
      </c>
      <c r="N90" s="23" t="n">
        <v>11</v>
      </c>
      <c r="O90" s="13" t="n">
        <f aca="false">SUMIFS($M$2:$M$1000,$C$2:$C$1000,"&lt;="&amp;C90)</f>
        <v>27.3790033955322</v>
      </c>
      <c r="P90" s="13" t="n">
        <f aca="false">O90-_xlfn.MAXIFS($O$2:$O$1000,$C$2:$C$1000,"&lt;="&amp;C90)</f>
        <v>0</v>
      </c>
      <c r="Q90" s="1"/>
      <c r="R90" s="1"/>
    </row>
    <row r="91" customFormat="false" ht="15" hidden="false" customHeight="false" outlineLevel="0" collapsed="false">
      <c r="A91" s="17" t="n">
        <v>158</v>
      </c>
      <c r="B91" s="17" t="s">
        <v>149</v>
      </c>
      <c r="C91" s="21" t="n">
        <v>46188.5520833333</v>
      </c>
      <c r="D91" s="17" t="s">
        <v>59</v>
      </c>
      <c r="E91" s="18" t="n">
        <v>0.98</v>
      </c>
      <c r="F91" s="18" t="n">
        <v>0.98</v>
      </c>
      <c r="G91" s="22" t="n">
        <v>20.4081632653061</v>
      </c>
      <c r="H91" s="13" t="n">
        <f aca="false">G91*F91</f>
        <v>20</v>
      </c>
      <c r="I91" s="17" t="s">
        <v>59</v>
      </c>
      <c r="J91" s="5" t="n">
        <f aca="false">IF(D91=I91,1,0)</f>
        <v>1</v>
      </c>
      <c r="K91" s="13" t="n">
        <f aca="false">J91*G91-H91</f>
        <v>0.408163265306122</v>
      </c>
      <c r="L91" s="13" t="n">
        <f aca="false">G91*Summary!$C$5*F91*(1-F91)+G91*Summary!$C$6</f>
        <v>0.028</v>
      </c>
      <c r="M91" s="13" t="n">
        <f aca="false">K91-L91</f>
        <v>0.380163265306122</v>
      </c>
      <c r="N91" s="23" t="n">
        <v>29</v>
      </c>
      <c r="O91" s="13" t="n">
        <f aca="false">SUMIFS($M$2:$M$1000,$C$2:$C$1000,"&lt;="&amp;C91)</f>
        <v>27.7591666608383</v>
      </c>
      <c r="P91" s="13" t="n">
        <f aca="false">O91-_xlfn.MAXIFS($O$2:$O$1000,$C$2:$C$1000,"&lt;="&amp;C91)</f>
        <v>0</v>
      </c>
      <c r="Q91" s="1"/>
      <c r="R91" s="1"/>
    </row>
    <row r="92" customFormat="false" ht="15" hidden="false" customHeight="false" outlineLevel="0" collapsed="false">
      <c r="A92" s="17" t="n">
        <v>161</v>
      </c>
      <c r="B92" s="17" t="s">
        <v>150</v>
      </c>
      <c r="C92" s="21" t="n">
        <v>46188.5625</v>
      </c>
      <c r="D92" s="17" t="s">
        <v>61</v>
      </c>
      <c r="E92" s="18" t="n">
        <v>0.98</v>
      </c>
      <c r="F92" s="18" t="n">
        <v>0.98</v>
      </c>
      <c r="G92" s="22" t="n">
        <v>20.4081632653061</v>
      </c>
      <c r="H92" s="13" t="n">
        <f aca="false">G92*F92</f>
        <v>20</v>
      </c>
      <c r="I92" s="17" t="s">
        <v>61</v>
      </c>
      <c r="J92" s="5" t="n">
        <f aca="false">IF(D92=I92,1,0)</f>
        <v>1</v>
      </c>
      <c r="K92" s="13" t="n">
        <f aca="false">J92*G92-H92</f>
        <v>0.408163265306122</v>
      </c>
      <c r="L92" s="13" t="n">
        <f aca="false">G92*Summary!$C$5*F92*(1-F92)+G92*Summary!$C$6</f>
        <v>0.028</v>
      </c>
      <c r="M92" s="13" t="n">
        <f aca="false">K92-L92</f>
        <v>0.380163265306122</v>
      </c>
      <c r="N92" s="23" t="n">
        <v>30</v>
      </c>
      <c r="O92" s="13" t="n">
        <f aca="false">SUMIFS($M$2:$M$1000,$C$2:$C$1000,"&lt;="&amp;C92)</f>
        <v>28.1393299261444</v>
      </c>
      <c r="P92" s="13" t="n">
        <f aca="false">O92-_xlfn.MAXIFS($O$2:$O$1000,$C$2:$C$1000,"&lt;="&amp;C92)</f>
        <v>0</v>
      </c>
      <c r="Q92" s="1"/>
      <c r="R92" s="1"/>
    </row>
    <row r="93" customFormat="false" ht="15" hidden="false" customHeight="false" outlineLevel="0" collapsed="false">
      <c r="A93" s="17" t="n">
        <v>162</v>
      </c>
      <c r="B93" s="17" t="s">
        <v>151</v>
      </c>
      <c r="C93" s="21" t="n">
        <v>46188.5659722222</v>
      </c>
      <c r="D93" s="17" t="s">
        <v>61</v>
      </c>
      <c r="E93" s="18" t="n">
        <v>0.98</v>
      </c>
      <c r="F93" s="18" t="n">
        <v>0.98</v>
      </c>
      <c r="G93" s="22" t="n">
        <v>20.4081632653061</v>
      </c>
      <c r="H93" s="13" t="n">
        <f aca="false">G93*F93</f>
        <v>20</v>
      </c>
      <c r="I93" s="17" t="s">
        <v>61</v>
      </c>
      <c r="J93" s="5" t="n">
        <f aca="false">IF(D93=I93,1,0)</f>
        <v>1</v>
      </c>
      <c r="K93" s="13" t="n">
        <f aca="false">J93*G93-H93</f>
        <v>0.408163265306122</v>
      </c>
      <c r="L93" s="13" t="n">
        <f aca="false">G93*Summary!$C$5*F93*(1-F93)+G93*Summary!$C$6</f>
        <v>0.028</v>
      </c>
      <c r="M93" s="13" t="n">
        <f aca="false">K93-L93</f>
        <v>0.380163265306122</v>
      </c>
      <c r="N93" s="23" t="n">
        <v>18</v>
      </c>
      <c r="O93" s="13" t="n">
        <f aca="false">SUMIFS($M$2:$M$1000,$C$2:$C$1000,"&lt;="&amp;C93)</f>
        <v>28.5194931914505</v>
      </c>
      <c r="P93" s="13" t="n">
        <f aca="false">O93-_xlfn.MAXIFS($O$2:$O$1000,$C$2:$C$1000,"&lt;="&amp;C93)</f>
        <v>0</v>
      </c>
      <c r="Q93" s="1"/>
      <c r="R93" s="1"/>
    </row>
    <row r="94" customFormat="false" ht="15" hidden="false" customHeight="false" outlineLevel="0" collapsed="false">
      <c r="A94" s="17" t="n">
        <v>165</v>
      </c>
      <c r="B94" s="17" t="s">
        <v>152</v>
      </c>
      <c r="C94" s="21" t="n">
        <v>46188.5763888889</v>
      </c>
      <c r="D94" s="17" t="s">
        <v>59</v>
      </c>
      <c r="E94" s="18" t="n">
        <v>0.98</v>
      </c>
      <c r="F94" s="18" t="n">
        <v>0.98</v>
      </c>
      <c r="G94" s="22" t="n">
        <v>20.4081632653061</v>
      </c>
      <c r="H94" s="13" t="n">
        <f aca="false">G94*F94</f>
        <v>20</v>
      </c>
      <c r="I94" s="17" t="s">
        <v>59</v>
      </c>
      <c r="J94" s="5" t="n">
        <f aca="false">IF(D94=I94,1,0)</f>
        <v>1</v>
      </c>
      <c r="K94" s="13" t="n">
        <f aca="false">J94*G94-H94</f>
        <v>0.408163265306122</v>
      </c>
      <c r="L94" s="13" t="n">
        <f aca="false">G94*Summary!$C$5*F94*(1-F94)+G94*Summary!$C$6</f>
        <v>0.028</v>
      </c>
      <c r="M94" s="13" t="n">
        <f aca="false">K94-L94</f>
        <v>0.380163265306122</v>
      </c>
      <c r="N94" s="23" t="n">
        <v>15.5</v>
      </c>
      <c r="O94" s="13" t="n">
        <f aca="false">SUMIFS($M$2:$M$1000,$C$2:$C$1000,"&lt;="&amp;C94)</f>
        <v>28.8996564567566</v>
      </c>
      <c r="P94" s="13" t="n">
        <f aca="false">O94-_xlfn.MAXIFS($O$2:$O$1000,$C$2:$C$1000,"&lt;="&amp;C94)</f>
        <v>0</v>
      </c>
      <c r="Q94" s="1"/>
      <c r="R94" s="1"/>
    </row>
    <row r="95" customFormat="false" ht="15" hidden="false" customHeight="false" outlineLevel="0" collapsed="false">
      <c r="A95" s="17" t="n">
        <v>167</v>
      </c>
      <c r="B95" s="17" t="s">
        <v>153</v>
      </c>
      <c r="C95" s="21" t="n">
        <v>46188.5833333333</v>
      </c>
      <c r="D95" s="17" t="s">
        <v>61</v>
      </c>
      <c r="E95" s="18" t="n">
        <v>0.98</v>
      </c>
      <c r="F95" s="18" t="n">
        <v>0.98</v>
      </c>
      <c r="G95" s="22" t="n">
        <v>20.4081632653061</v>
      </c>
      <c r="H95" s="13" t="n">
        <f aca="false">G95*F95</f>
        <v>20</v>
      </c>
      <c r="I95" s="17" t="s">
        <v>61</v>
      </c>
      <c r="J95" s="5" t="n">
        <f aca="false">IF(D95=I95,1,0)</f>
        <v>1</v>
      </c>
      <c r="K95" s="13" t="n">
        <f aca="false">J95*G95-H95</f>
        <v>0.408163265306122</v>
      </c>
      <c r="L95" s="13" t="n">
        <f aca="false">G95*Summary!$C$5*F95*(1-F95)+G95*Summary!$C$6</f>
        <v>0.028</v>
      </c>
      <c r="M95" s="13" t="n">
        <f aca="false">K95-L95</f>
        <v>0.380163265306122</v>
      </c>
      <c r="N95" s="23" t="n">
        <v>3</v>
      </c>
      <c r="O95" s="13" t="n">
        <f aca="false">SUMIFS($M$2:$M$1000,$C$2:$C$1000,"&lt;="&amp;C95)</f>
        <v>29.2798197220628</v>
      </c>
      <c r="P95" s="13" t="n">
        <f aca="false">O95-_xlfn.MAXIFS($O$2:$O$1000,$C$2:$C$1000,"&lt;="&amp;C95)</f>
        <v>0</v>
      </c>
      <c r="Q95" s="1"/>
      <c r="R95" s="1"/>
    </row>
    <row r="96" customFormat="false" ht="15" hidden="false" customHeight="false" outlineLevel="0" collapsed="false">
      <c r="A96" s="17" t="n">
        <v>169</v>
      </c>
      <c r="B96" s="17" t="s">
        <v>154</v>
      </c>
      <c r="C96" s="21" t="n">
        <v>46188.5902777778</v>
      </c>
      <c r="D96" s="17" t="s">
        <v>59</v>
      </c>
      <c r="E96" s="18" t="n">
        <v>0.98</v>
      </c>
      <c r="F96" s="18" t="n">
        <v>0.98</v>
      </c>
      <c r="G96" s="22" t="n">
        <v>20.4081632653061</v>
      </c>
      <c r="H96" s="13" t="n">
        <f aca="false">G96*F96</f>
        <v>20</v>
      </c>
      <c r="I96" s="17" t="s">
        <v>59</v>
      </c>
      <c r="J96" s="5" t="n">
        <f aca="false">IF(D96=I96,1,0)</f>
        <v>1</v>
      </c>
      <c r="K96" s="13" t="n">
        <f aca="false">J96*G96-H96</f>
        <v>0.408163265306122</v>
      </c>
      <c r="L96" s="13" t="n">
        <f aca="false">G96*Summary!$C$5*F96*(1-F96)+G96*Summary!$C$6</f>
        <v>0.028</v>
      </c>
      <c r="M96" s="13" t="n">
        <f aca="false">K96-L96</f>
        <v>0.380163265306122</v>
      </c>
      <c r="N96" s="23" t="n">
        <v>7.5</v>
      </c>
      <c r="O96" s="13" t="n">
        <f aca="false">SUMIFS($M$2:$M$1000,$C$2:$C$1000,"&lt;="&amp;C96)</f>
        <v>29.6599829873689</v>
      </c>
      <c r="P96" s="13" t="n">
        <f aca="false">O96-_xlfn.MAXIFS($O$2:$O$1000,$C$2:$C$1000,"&lt;="&amp;C96)</f>
        <v>0</v>
      </c>
      <c r="Q96" s="1"/>
      <c r="R96" s="1"/>
    </row>
    <row r="97" customFormat="false" ht="15" hidden="false" customHeight="false" outlineLevel="0" collapsed="false">
      <c r="A97" s="17" t="n">
        <v>170</v>
      </c>
      <c r="B97" s="17" t="s">
        <v>155</v>
      </c>
      <c r="C97" s="21" t="n">
        <v>46188.59375</v>
      </c>
      <c r="D97" s="17" t="s">
        <v>59</v>
      </c>
      <c r="E97" s="18" t="n">
        <v>0.98</v>
      </c>
      <c r="F97" s="18" t="n">
        <v>0.98</v>
      </c>
      <c r="G97" s="22" t="n">
        <v>20.4081632653061</v>
      </c>
      <c r="H97" s="13" t="n">
        <f aca="false">G97*F97</f>
        <v>20</v>
      </c>
      <c r="I97" s="17" t="s">
        <v>59</v>
      </c>
      <c r="J97" s="5" t="n">
        <f aca="false">IF(D97=I97,1,0)</f>
        <v>1</v>
      </c>
      <c r="K97" s="13" t="n">
        <f aca="false">J97*G97-H97</f>
        <v>0.408163265306122</v>
      </c>
      <c r="L97" s="13" t="n">
        <f aca="false">G97*Summary!$C$5*F97*(1-F97)+G97*Summary!$C$6</f>
        <v>0.028</v>
      </c>
      <c r="M97" s="13" t="n">
        <f aca="false">K97-L97</f>
        <v>0.380163265306122</v>
      </c>
      <c r="N97" s="23" t="n">
        <v>18</v>
      </c>
      <c r="O97" s="13" t="n">
        <f aca="false">SUMIFS($M$2:$M$1000,$C$2:$C$1000,"&lt;="&amp;C97)</f>
        <v>30.040146252675</v>
      </c>
      <c r="P97" s="13" t="n">
        <f aca="false">O97-_xlfn.MAXIFS($O$2:$O$1000,$C$2:$C$1000,"&lt;="&amp;C97)</f>
        <v>0</v>
      </c>
      <c r="Q97" s="1"/>
      <c r="R97" s="1"/>
    </row>
    <row r="98" customFormat="false" ht="15" hidden="false" customHeight="false" outlineLevel="0" collapsed="false">
      <c r="A98" s="17" t="n">
        <v>174</v>
      </c>
      <c r="B98" s="17" t="s">
        <v>156</v>
      </c>
      <c r="C98" s="21" t="n">
        <v>46188.6076388889</v>
      </c>
      <c r="D98" s="17" t="s">
        <v>61</v>
      </c>
      <c r="E98" s="18" t="n">
        <v>0.98</v>
      </c>
      <c r="F98" s="18" t="n">
        <v>0.98</v>
      </c>
      <c r="G98" s="22" t="n">
        <v>20.4081632653061</v>
      </c>
      <c r="H98" s="13" t="n">
        <f aca="false">G98*F98</f>
        <v>20</v>
      </c>
      <c r="I98" s="17" t="s">
        <v>61</v>
      </c>
      <c r="J98" s="5" t="n">
        <f aca="false">IF(D98=I98,1,0)</f>
        <v>1</v>
      </c>
      <c r="K98" s="13" t="n">
        <f aca="false">J98*G98-H98</f>
        <v>0.408163265306122</v>
      </c>
      <c r="L98" s="13" t="n">
        <f aca="false">G98*Summary!$C$5*F98*(1-F98)+G98*Summary!$C$6</f>
        <v>0.028</v>
      </c>
      <c r="M98" s="13" t="n">
        <f aca="false">K98-L98</f>
        <v>0.380163265306122</v>
      </c>
      <c r="N98" s="23" t="n">
        <v>25.5</v>
      </c>
      <c r="O98" s="13" t="n">
        <f aca="false">SUMIFS($M$2:$M$1000,$C$2:$C$1000,"&lt;="&amp;C98)</f>
        <v>30.4203095179811</v>
      </c>
      <c r="P98" s="13" t="n">
        <f aca="false">O98-_xlfn.MAXIFS($O$2:$O$1000,$C$2:$C$1000,"&lt;="&amp;C98)</f>
        <v>0</v>
      </c>
      <c r="Q98" s="1"/>
      <c r="R98" s="1"/>
    </row>
    <row r="99" customFormat="false" ht="15" hidden="false" customHeight="false" outlineLevel="0" collapsed="false">
      <c r="A99" s="17" t="n">
        <v>175</v>
      </c>
      <c r="B99" s="17" t="s">
        <v>157</v>
      </c>
      <c r="C99" s="21" t="n">
        <v>46188.6111111111</v>
      </c>
      <c r="D99" s="17" t="s">
        <v>61</v>
      </c>
      <c r="E99" s="18" t="n">
        <v>0.99</v>
      </c>
      <c r="F99" s="18" t="n">
        <v>0.99</v>
      </c>
      <c r="G99" s="22" t="n">
        <v>20.2020202020202</v>
      </c>
      <c r="H99" s="13" t="n">
        <f aca="false">G99*F99</f>
        <v>20</v>
      </c>
      <c r="I99" s="17" t="s">
        <v>61</v>
      </c>
      <c r="J99" s="5" t="n">
        <f aca="false">IF(D99=I99,1,0)</f>
        <v>1</v>
      </c>
      <c r="K99" s="13" t="n">
        <f aca="false">J99*G99-H99</f>
        <v>0.202020202020201</v>
      </c>
      <c r="L99" s="13" t="n">
        <f aca="false">G99*Summary!$C$5*F99*(1-F99)+G99*Summary!$C$6</f>
        <v>0.0139999999999999</v>
      </c>
      <c r="M99" s="13" t="n">
        <f aca="false">K99-L99</f>
        <v>0.188020202020201</v>
      </c>
      <c r="N99" s="23" t="n">
        <v>30</v>
      </c>
      <c r="O99" s="13" t="n">
        <f aca="false">SUMIFS($M$2:$M$1000,$C$2:$C$1000,"&lt;="&amp;C99)</f>
        <v>30.6083297200013</v>
      </c>
      <c r="P99" s="13" t="n">
        <f aca="false">O99-_xlfn.MAXIFS($O$2:$O$1000,$C$2:$C$1000,"&lt;="&amp;C99)</f>
        <v>0</v>
      </c>
      <c r="Q99" s="1"/>
      <c r="R99" s="1"/>
    </row>
    <row r="100" customFormat="false" ht="15" hidden="false" customHeight="false" outlineLevel="0" collapsed="false">
      <c r="A100" s="17" t="n">
        <v>176</v>
      </c>
      <c r="B100" s="17" t="s">
        <v>158</v>
      </c>
      <c r="C100" s="21" t="n">
        <v>46188.6145833333</v>
      </c>
      <c r="D100" s="17" t="s">
        <v>59</v>
      </c>
      <c r="E100" s="18" t="n">
        <v>0.98</v>
      </c>
      <c r="F100" s="18" t="n">
        <v>0.98</v>
      </c>
      <c r="G100" s="22" t="n">
        <v>20.4081632653061</v>
      </c>
      <c r="H100" s="13" t="n">
        <f aca="false">G100*F100</f>
        <v>20</v>
      </c>
      <c r="I100" s="17" t="s">
        <v>59</v>
      </c>
      <c r="J100" s="5" t="n">
        <f aca="false">IF(D100=I100,1,0)</f>
        <v>1</v>
      </c>
      <c r="K100" s="13" t="n">
        <f aca="false">J100*G100-H100</f>
        <v>0.408163265306122</v>
      </c>
      <c r="L100" s="13" t="n">
        <f aca="false">G100*Summary!$C$5*F100*(1-F100)+G100*Summary!$C$6</f>
        <v>0.028</v>
      </c>
      <c r="M100" s="13" t="n">
        <f aca="false">K100-L100</f>
        <v>0.380163265306122</v>
      </c>
      <c r="N100" s="23" t="n">
        <v>22.5</v>
      </c>
      <c r="O100" s="13" t="n">
        <f aca="false">SUMIFS($M$2:$M$1000,$C$2:$C$1000,"&lt;="&amp;C100)</f>
        <v>30.9884929853075</v>
      </c>
      <c r="P100" s="13" t="n">
        <f aca="false">O100-_xlfn.MAXIFS($O$2:$O$1000,$C$2:$C$1000,"&lt;="&amp;C100)</f>
        <v>0</v>
      </c>
      <c r="Q100" s="1"/>
      <c r="R100" s="1"/>
    </row>
    <row r="101" customFormat="false" ht="15" hidden="false" customHeight="false" outlineLevel="0" collapsed="false">
      <c r="A101" s="17" t="n">
        <v>178</v>
      </c>
      <c r="B101" s="17" t="s">
        <v>159</v>
      </c>
      <c r="C101" s="21" t="n">
        <v>46188.6215277778</v>
      </c>
      <c r="D101" s="17" t="s">
        <v>59</v>
      </c>
      <c r="E101" s="18" t="n">
        <v>0.98</v>
      </c>
      <c r="F101" s="18" t="n">
        <v>0.98</v>
      </c>
      <c r="G101" s="22" t="n">
        <v>20.4081632653061</v>
      </c>
      <c r="H101" s="13" t="n">
        <f aca="false">G101*F101</f>
        <v>20</v>
      </c>
      <c r="I101" s="17" t="s">
        <v>59</v>
      </c>
      <c r="J101" s="5" t="n">
        <f aca="false">IF(D101=I101,1,0)</f>
        <v>1</v>
      </c>
      <c r="K101" s="13" t="n">
        <f aca="false">J101*G101-H101</f>
        <v>0.408163265306122</v>
      </c>
      <c r="L101" s="13" t="n">
        <f aca="false">G101*Summary!$C$5*F101*(1-F101)+G101*Summary!$C$6</f>
        <v>0.028</v>
      </c>
      <c r="M101" s="13" t="n">
        <f aca="false">K101-L101</f>
        <v>0.380163265306122</v>
      </c>
      <c r="N101" s="23" t="n">
        <v>14</v>
      </c>
      <c r="O101" s="13" t="n">
        <f aca="false">SUMIFS($M$2:$M$1000,$C$2:$C$1000,"&lt;="&amp;C101)</f>
        <v>31.3686562506136</v>
      </c>
      <c r="P101" s="13" t="n">
        <f aca="false">O101-_xlfn.MAXIFS($O$2:$O$1000,$C$2:$C$1000,"&lt;="&amp;C101)</f>
        <v>0</v>
      </c>
      <c r="Q101" s="1"/>
      <c r="R101" s="1"/>
    </row>
    <row r="102" customFormat="false" ht="15" hidden="false" customHeight="false" outlineLevel="0" collapsed="false">
      <c r="A102" s="17" t="n">
        <v>179</v>
      </c>
      <c r="B102" s="17" t="s">
        <v>160</v>
      </c>
      <c r="C102" s="21" t="n">
        <v>46188.625</v>
      </c>
      <c r="D102" s="17" t="s">
        <v>61</v>
      </c>
      <c r="E102" s="18" t="n">
        <v>0.99</v>
      </c>
      <c r="F102" s="18" t="n">
        <v>0.99</v>
      </c>
      <c r="G102" s="22" t="n">
        <v>20.2020202020202</v>
      </c>
      <c r="H102" s="13" t="n">
        <f aca="false">G102*F102</f>
        <v>20</v>
      </c>
      <c r="I102" s="17" t="s">
        <v>61</v>
      </c>
      <c r="J102" s="5" t="n">
        <f aca="false">IF(D102=I102,1,0)</f>
        <v>1</v>
      </c>
      <c r="K102" s="13" t="n">
        <f aca="false">J102*G102-H102</f>
        <v>0.202020202020201</v>
      </c>
      <c r="L102" s="13" t="n">
        <f aca="false">G102*Summary!$C$5*F102*(1-F102)+G102*Summary!$C$6</f>
        <v>0.0139999999999999</v>
      </c>
      <c r="M102" s="13" t="n">
        <f aca="false">K102-L102</f>
        <v>0.188020202020201</v>
      </c>
      <c r="N102" s="23" t="n">
        <v>27.5</v>
      </c>
      <c r="O102" s="13" t="n">
        <f aca="false">SUMIFS($M$2:$M$1000,$C$2:$C$1000,"&lt;="&amp;C102)</f>
        <v>31.5566764526338</v>
      </c>
      <c r="P102" s="13" t="n">
        <f aca="false">O102-_xlfn.MAXIFS($O$2:$O$1000,$C$2:$C$1000,"&lt;="&amp;C102)</f>
        <v>0</v>
      </c>
      <c r="Q102" s="1"/>
      <c r="R102" s="1"/>
    </row>
    <row r="103" customFormat="false" ht="15" hidden="false" customHeight="false" outlineLevel="0" collapsed="false">
      <c r="A103" s="17" t="n">
        <v>180</v>
      </c>
      <c r="B103" s="17" t="s">
        <v>161</v>
      </c>
      <c r="C103" s="21" t="n">
        <v>46188.6284722222</v>
      </c>
      <c r="D103" s="17" t="s">
        <v>59</v>
      </c>
      <c r="E103" s="18" t="n">
        <v>0.98</v>
      </c>
      <c r="F103" s="18" t="n">
        <v>0.98</v>
      </c>
      <c r="G103" s="22" t="n">
        <v>20.4081632653061</v>
      </c>
      <c r="H103" s="13" t="n">
        <f aca="false">G103*F103</f>
        <v>20</v>
      </c>
      <c r="I103" s="17" t="s">
        <v>59</v>
      </c>
      <c r="J103" s="5" t="n">
        <f aca="false">IF(D103=I103,1,0)</f>
        <v>1</v>
      </c>
      <c r="K103" s="13" t="n">
        <f aca="false">J103*G103-H103</f>
        <v>0.408163265306122</v>
      </c>
      <c r="L103" s="13" t="n">
        <f aca="false">G103*Summary!$C$5*F103*(1-F103)+G103*Summary!$C$6</f>
        <v>0.028</v>
      </c>
      <c r="M103" s="13" t="n">
        <f aca="false">K103-L103</f>
        <v>0.380163265306122</v>
      </c>
      <c r="N103" s="23" t="n">
        <v>29.5</v>
      </c>
      <c r="O103" s="13" t="n">
        <f aca="false">SUMIFS($M$2:$M$1000,$C$2:$C$1000,"&lt;="&amp;C103)</f>
        <v>31.9368397179399</v>
      </c>
      <c r="P103" s="13" t="n">
        <f aca="false">O103-_xlfn.MAXIFS($O$2:$O$1000,$C$2:$C$1000,"&lt;="&amp;C103)</f>
        <v>0</v>
      </c>
      <c r="Q103" s="1"/>
      <c r="R103" s="1"/>
    </row>
    <row r="104" customFormat="false" ht="15" hidden="false" customHeight="false" outlineLevel="0" collapsed="false">
      <c r="A104" s="17" t="n">
        <v>181</v>
      </c>
      <c r="B104" s="17" t="s">
        <v>162</v>
      </c>
      <c r="C104" s="21" t="n">
        <v>46188.6319444445</v>
      </c>
      <c r="D104" s="17" t="s">
        <v>59</v>
      </c>
      <c r="E104" s="18" t="n">
        <v>0.99</v>
      </c>
      <c r="F104" s="18" t="n">
        <v>0.99</v>
      </c>
      <c r="G104" s="22" t="n">
        <v>20.2020202020202</v>
      </c>
      <c r="H104" s="13" t="n">
        <f aca="false">G104*F104</f>
        <v>20</v>
      </c>
      <c r="I104" s="17" t="s">
        <v>59</v>
      </c>
      <c r="J104" s="5" t="n">
        <f aca="false">IF(D104=I104,1,0)</f>
        <v>1</v>
      </c>
      <c r="K104" s="13" t="n">
        <f aca="false">J104*G104-H104</f>
        <v>0.202020202020201</v>
      </c>
      <c r="L104" s="13" t="n">
        <f aca="false">G104*Summary!$C$5*F104*(1-F104)+G104*Summary!$C$6</f>
        <v>0.0139999999999999</v>
      </c>
      <c r="M104" s="13" t="n">
        <f aca="false">K104-L104</f>
        <v>0.188020202020201</v>
      </c>
      <c r="N104" s="23" t="n">
        <v>30</v>
      </c>
      <c r="O104" s="13" t="n">
        <f aca="false">SUMIFS($M$2:$M$1000,$C$2:$C$1000,"&lt;="&amp;C104)</f>
        <v>32.1248599199601</v>
      </c>
      <c r="P104" s="13" t="n">
        <f aca="false">O104-_xlfn.MAXIFS($O$2:$O$1000,$C$2:$C$1000,"&lt;="&amp;C104)</f>
        <v>0</v>
      </c>
      <c r="Q104" s="1"/>
      <c r="R104" s="1"/>
    </row>
    <row r="105" customFormat="false" ht="15" hidden="false" customHeight="false" outlineLevel="0" collapsed="false">
      <c r="A105" s="17" t="n">
        <v>182</v>
      </c>
      <c r="B105" s="17" t="s">
        <v>163</v>
      </c>
      <c r="C105" s="21" t="n">
        <v>46188.6354166667</v>
      </c>
      <c r="D105" s="17" t="s">
        <v>61</v>
      </c>
      <c r="E105" s="18" t="n">
        <v>0.98</v>
      </c>
      <c r="F105" s="18" t="n">
        <v>0.98</v>
      </c>
      <c r="G105" s="22" t="n">
        <v>20.4081632653061</v>
      </c>
      <c r="H105" s="13" t="n">
        <f aca="false">G105*F105</f>
        <v>20</v>
      </c>
      <c r="I105" s="17" t="s">
        <v>61</v>
      </c>
      <c r="J105" s="5" t="n">
        <f aca="false">IF(D105=I105,1,0)</f>
        <v>1</v>
      </c>
      <c r="K105" s="13" t="n">
        <f aca="false">J105*G105-H105</f>
        <v>0.408163265306122</v>
      </c>
      <c r="L105" s="13" t="n">
        <f aca="false">G105*Summary!$C$5*F105*(1-F105)+G105*Summary!$C$6</f>
        <v>0.028</v>
      </c>
      <c r="M105" s="13" t="n">
        <f aca="false">K105-L105</f>
        <v>0.380163265306122</v>
      </c>
      <c r="N105" s="23" t="n">
        <v>14</v>
      </c>
      <c r="O105" s="13" t="n">
        <f aca="false">SUMIFS($M$2:$M$1000,$C$2:$C$1000,"&lt;="&amp;C105)</f>
        <v>32.5050231852662</v>
      </c>
      <c r="P105" s="13" t="n">
        <f aca="false">O105-_xlfn.MAXIFS($O$2:$O$1000,$C$2:$C$1000,"&lt;="&amp;C105)</f>
        <v>0</v>
      </c>
      <c r="Q105" s="1"/>
      <c r="R105" s="1"/>
    </row>
    <row r="106" customFormat="false" ht="15" hidden="false" customHeight="false" outlineLevel="0" collapsed="false">
      <c r="A106" s="17" t="n">
        <v>184</v>
      </c>
      <c r="B106" s="17" t="s">
        <v>164</v>
      </c>
      <c r="C106" s="21" t="n">
        <v>46188.6423611111</v>
      </c>
      <c r="D106" s="17" t="s">
        <v>61</v>
      </c>
      <c r="E106" s="18" t="n">
        <v>0.99</v>
      </c>
      <c r="F106" s="18" t="n">
        <v>0.99</v>
      </c>
      <c r="G106" s="22" t="n">
        <v>20.2020202020202</v>
      </c>
      <c r="H106" s="13" t="n">
        <f aca="false">G106*F106</f>
        <v>20</v>
      </c>
      <c r="I106" s="17" t="s">
        <v>61</v>
      </c>
      <c r="J106" s="5" t="n">
        <f aca="false">IF(D106=I106,1,0)</f>
        <v>1</v>
      </c>
      <c r="K106" s="13" t="n">
        <f aca="false">J106*G106-H106</f>
        <v>0.202020202020201</v>
      </c>
      <c r="L106" s="13" t="n">
        <f aca="false">G106*Summary!$C$5*F106*(1-F106)+G106*Summary!$C$6</f>
        <v>0.0139999999999999</v>
      </c>
      <c r="M106" s="13" t="n">
        <f aca="false">K106-L106</f>
        <v>0.188020202020201</v>
      </c>
      <c r="N106" s="23" t="n">
        <v>30</v>
      </c>
      <c r="O106" s="13" t="n">
        <f aca="false">SUMIFS($M$2:$M$1000,$C$2:$C$1000,"&lt;="&amp;C106)</f>
        <v>32.6930433872864</v>
      </c>
      <c r="P106" s="13" t="n">
        <f aca="false">O106-_xlfn.MAXIFS($O$2:$O$1000,$C$2:$C$1000,"&lt;="&amp;C106)</f>
        <v>0</v>
      </c>
      <c r="Q106" s="1"/>
      <c r="R106" s="1"/>
    </row>
    <row r="107" customFormat="false" ht="15" hidden="false" customHeight="false" outlineLevel="0" collapsed="false">
      <c r="A107" s="17" t="n">
        <v>190</v>
      </c>
      <c r="B107" s="17" t="s">
        <v>165</v>
      </c>
      <c r="C107" s="21" t="n">
        <v>46188.6631944445</v>
      </c>
      <c r="D107" s="17" t="s">
        <v>59</v>
      </c>
      <c r="E107" s="18" t="n">
        <v>0.99</v>
      </c>
      <c r="F107" s="18" t="n">
        <v>0.99</v>
      </c>
      <c r="G107" s="22" t="n">
        <v>20.2020202020202</v>
      </c>
      <c r="H107" s="13" t="n">
        <f aca="false">G107*F107</f>
        <v>20</v>
      </c>
      <c r="I107" s="17" t="s">
        <v>59</v>
      </c>
      <c r="J107" s="5" t="n">
        <f aca="false">IF(D107=I107,1,0)</f>
        <v>1</v>
      </c>
      <c r="K107" s="13" t="n">
        <f aca="false">J107*G107-H107</f>
        <v>0.202020202020201</v>
      </c>
      <c r="L107" s="13" t="n">
        <f aca="false">G107*Summary!$C$5*F107*(1-F107)+G107*Summary!$C$6</f>
        <v>0.0139999999999999</v>
      </c>
      <c r="M107" s="13" t="n">
        <f aca="false">K107-L107</f>
        <v>0.188020202020201</v>
      </c>
      <c r="N107" s="23" t="n">
        <v>27.5</v>
      </c>
      <c r="O107" s="13" t="n">
        <f aca="false">SUMIFS($M$2:$M$1000,$C$2:$C$1000,"&lt;="&amp;C107)</f>
        <v>32.8810635893066</v>
      </c>
      <c r="P107" s="13" t="n">
        <f aca="false">O107-_xlfn.MAXIFS($O$2:$O$1000,$C$2:$C$1000,"&lt;="&amp;C107)</f>
        <v>0</v>
      </c>
      <c r="Q107" s="1"/>
      <c r="R107" s="1"/>
    </row>
    <row r="108" customFormat="false" ht="15" hidden="false" customHeight="false" outlineLevel="0" collapsed="false">
      <c r="A108" s="17" t="n">
        <v>191</v>
      </c>
      <c r="B108" s="17" t="s">
        <v>166</v>
      </c>
      <c r="C108" s="21" t="n">
        <v>46188.6666666667</v>
      </c>
      <c r="D108" s="17" t="s">
        <v>59</v>
      </c>
      <c r="E108" s="18" t="n">
        <v>0.98</v>
      </c>
      <c r="F108" s="18" t="n">
        <v>0.98</v>
      </c>
      <c r="G108" s="22" t="n">
        <v>20.4081632653061</v>
      </c>
      <c r="H108" s="13" t="n">
        <f aca="false">G108*F108</f>
        <v>20</v>
      </c>
      <c r="I108" s="17" t="s">
        <v>59</v>
      </c>
      <c r="J108" s="5" t="n">
        <f aca="false">IF(D108=I108,1,0)</f>
        <v>1</v>
      </c>
      <c r="K108" s="13" t="n">
        <f aca="false">J108*G108-H108</f>
        <v>0.408163265306122</v>
      </c>
      <c r="L108" s="13" t="n">
        <f aca="false">G108*Summary!$C$5*F108*(1-F108)+G108*Summary!$C$6</f>
        <v>0.028</v>
      </c>
      <c r="M108" s="13" t="n">
        <f aca="false">K108-L108</f>
        <v>0.380163265306122</v>
      </c>
      <c r="N108" s="23" t="n">
        <v>4.5</v>
      </c>
      <c r="O108" s="13" t="n">
        <f aca="false">SUMIFS($M$2:$M$1000,$C$2:$C$1000,"&lt;="&amp;C108)</f>
        <v>33.2612268546127</v>
      </c>
      <c r="P108" s="13" t="n">
        <f aca="false">O108-_xlfn.MAXIFS($O$2:$O$1000,$C$2:$C$1000,"&lt;="&amp;C108)</f>
        <v>0</v>
      </c>
      <c r="Q108" s="1"/>
      <c r="R108" s="1"/>
    </row>
    <row r="109" customFormat="false" ht="15" hidden="false" customHeight="false" outlineLevel="0" collapsed="false">
      <c r="A109" s="17" t="n">
        <v>197</v>
      </c>
      <c r="B109" s="17" t="s">
        <v>167</v>
      </c>
      <c r="C109" s="21" t="n">
        <v>46188.6875</v>
      </c>
      <c r="D109" s="17" t="s">
        <v>61</v>
      </c>
      <c r="E109" s="18" t="n">
        <v>0.98</v>
      </c>
      <c r="F109" s="18" t="n">
        <v>0.98</v>
      </c>
      <c r="G109" s="22" t="n">
        <v>20.4081632653061</v>
      </c>
      <c r="H109" s="13" t="n">
        <f aca="false">G109*F109</f>
        <v>20</v>
      </c>
      <c r="I109" s="17" t="s">
        <v>61</v>
      </c>
      <c r="J109" s="5" t="n">
        <f aca="false">IF(D109=I109,1,0)</f>
        <v>1</v>
      </c>
      <c r="K109" s="13" t="n">
        <f aca="false">J109*G109-H109</f>
        <v>0.408163265306122</v>
      </c>
      <c r="L109" s="13" t="n">
        <f aca="false">G109*Summary!$C$5*F109*(1-F109)+G109*Summary!$C$6</f>
        <v>0.028</v>
      </c>
      <c r="M109" s="13" t="n">
        <f aca="false">K109-L109</f>
        <v>0.380163265306122</v>
      </c>
      <c r="N109" s="23" t="n">
        <v>24</v>
      </c>
      <c r="O109" s="13" t="n">
        <f aca="false">SUMIFS($M$2:$M$1000,$C$2:$C$1000,"&lt;="&amp;C109)</f>
        <v>33.6413901199189</v>
      </c>
      <c r="P109" s="13" t="n">
        <f aca="false">O109-_xlfn.MAXIFS($O$2:$O$1000,$C$2:$C$1000,"&lt;="&amp;C109)</f>
        <v>0</v>
      </c>
      <c r="Q109" s="1"/>
      <c r="R109" s="1"/>
    </row>
    <row r="110" customFormat="false" ht="15" hidden="false" customHeight="false" outlineLevel="0" collapsed="false">
      <c r="A110" s="17" t="n">
        <v>198</v>
      </c>
      <c r="B110" s="17" t="s">
        <v>168</v>
      </c>
      <c r="C110" s="21" t="n">
        <v>46188.6909722222</v>
      </c>
      <c r="D110" s="17" t="s">
        <v>59</v>
      </c>
      <c r="E110" s="18" t="n">
        <v>0.98</v>
      </c>
      <c r="F110" s="18" t="n">
        <v>0.98</v>
      </c>
      <c r="G110" s="22" t="n">
        <v>20.4081632653061</v>
      </c>
      <c r="H110" s="13" t="n">
        <f aca="false">G110*F110</f>
        <v>20</v>
      </c>
      <c r="I110" s="17" t="s">
        <v>59</v>
      </c>
      <c r="J110" s="5" t="n">
        <f aca="false">IF(D110=I110,1,0)</f>
        <v>1</v>
      </c>
      <c r="K110" s="13" t="n">
        <f aca="false">J110*G110-H110</f>
        <v>0.408163265306122</v>
      </c>
      <c r="L110" s="13" t="n">
        <f aca="false">G110*Summary!$C$5*F110*(1-F110)+G110*Summary!$C$6</f>
        <v>0.028</v>
      </c>
      <c r="M110" s="13" t="n">
        <f aca="false">K110-L110</f>
        <v>0.380163265306122</v>
      </c>
      <c r="N110" s="23" t="n">
        <v>18</v>
      </c>
      <c r="O110" s="13" t="n">
        <f aca="false">SUMIFS($M$2:$M$1000,$C$2:$C$1000,"&lt;="&amp;C110)</f>
        <v>34.021553385225</v>
      </c>
      <c r="P110" s="13" t="n">
        <f aca="false">O110-_xlfn.MAXIFS($O$2:$O$1000,$C$2:$C$1000,"&lt;="&amp;C110)</f>
        <v>0</v>
      </c>
      <c r="Q110" s="1"/>
      <c r="R110" s="1"/>
    </row>
    <row r="111" customFormat="false" ht="15" hidden="false" customHeight="false" outlineLevel="0" collapsed="false">
      <c r="A111" s="17" t="n">
        <v>202</v>
      </c>
      <c r="B111" s="17" t="s">
        <v>169</v>
      </c>
      <c r="C111" s="21" t="n">
        <v>46188.7048611111</v>
      </c>
      <c r="D111" s="17" t="s">
        <v>59</v>
      </c>
      <c r="E111" s="18" t="n">
        <v>0.99</v>
      </c>
      <c r="F111" s="18" t="n">
        <v>0.99</v>
      </c>
      <c r="G111" s="22" t="n">
        <v>20.2020202020202</v>
      </c>
      <c r="H111" s="13" t="n">
        <f aca="false">G111*F111</f>
        <v>20</v>
      </c>
      <c r="I111" s="17" t="s">
        <v>59</v>
      </c>
      <c r="J111" s="5" t="n">
        <f aca="false">IF(D111=I111,1,0)</f>
        <v>1</v>
      </c>
      <c r="K111" s="13" t="n">
        <f aca="false">J111*G111-H111</f>
        <v>0.202020202020201</v>
      </c>
      <c r="L111" s="13" t="n">
        <f aca="false">G111*Summary!$C$5*F111*(1-F111)+G111*Summary!$C$6</f>
        <v>0.0139999999999999</v>
      </c>
      <c r="M111" s="13" t="n">
        <f aca="false">K111-L111</f>
        <v>0.188020202020201</v>
      </c>
      <c r="N111" s="23" t="n">
        <v>27.5</v>
      </c>
      <c r="O111" s="13" t="n">
        <f aca="false">SUMIFS($M$2:$M$1000,$C$2:$C$1000,"&lt;="&amp;C111)</f>
        <v>34.2095735872452</v>
      </c>
      <c r="P111" s="13" t="n">
        <f aca="false">O111-_xlfn.MAXIFS($O$2:$O$1000,$C$2:$C$1000,"&lt;="&amp;C111)</f>
        <v>0</v>
      </c>
      <c r="Q111" s="1"/>
      <c r="R111" s="1"/>
    </row>
    <row r="112" customFormat="false" ht="15" hidden="false" customHeight="false" outlineLevel="0" collapsed="false">
      <c r="A112" s="17" t="n">
        <v>205</v>
      </c>
      <c r="B112" s="17" t="s">
        <v>170</v>
      </c>
      <c r="C112" s="21" t="n">
        <v>46188.7152777778</v>
      </c>
      <c r="D112" s="17" t="s">
        <v>61</v>
      </c>
      <c r="E112" s="18" t="n">
        <v>0.99</v>
      </c>
      <c r="F112" s="18" t="n">
        <v>0.99</v>
      </c>
      <c r="G112" s="22" t="n">
        <v>20.2020202020202</v>
      </c>
      <c r="H112" s="13" t="n">
        <f aca="false">G112*F112</f>
        <v>20</v>
      </c>
      <c r="I112" s="17" t="s">
        <v>61</v>
      </c>
      <c r="J112" s="5" t="n">
        <f aca="false">IF(D112=I112,1,0)</f>
        <v>1</v>
      </c>
      <c r="K112" s="13" t="n">
        <f aca="false">J112*G112-H112</f>
        <v>0.202020202020201</v>
      </c>
      <c r="L112" s="13" t="n">
        <f aca="false">G112*Summary!$C$5*F112*(1-F112)+G112*Summary!$C$6</f>
        <v>0.0139999999999999</v>
      </c>
      <c r="M112" s="13" t="n">
        <f aca="false">K112-L112</f>
        <v>0.188020202020201</v>
      </c>
      <c r="N112" s="23" t="n">
        <v>10.5</v>
      </c>
      <c r="O112" s="13" t="n">
        <f aca="false">SUMIFS($M$2:$M$1000,$C$2:$C$1000,"&lt;="&amp;C112)</f>
        <v>34.3975937892654</v>
      </c>
      <c r="P112" s="13" t="n">
        <f aca="false">O112-_xlfn.MAXIFS($O$2:$O$1000,$C$2:$C$1000,"&lt;="&amp;C112)</f>
        <v>0</v>
      </c>
      <c r="Q112" s="1"/>
      <c r="R112" s="1"/>
    </row>
    <row r="113" customFormat="false" ht="15" hidden="false" customHeight="false" outlineLevel="0" collapsed="false">
      <c r="A113" s="17" t="n">
        <v>206</v>
      </c>
      <c r="B113" s="17" t="s">
        <v>171</v>
      </c>
      <c r="C113" s="21" t="n">
        <v>46188.71875</v>
      </c>
      <c r="D113" s="17" t="s">
        <v>59</v>
      </c>
      <c r="E113" s="18" t="n">
        <v>0.99</v>
      </c>
      <c r="F113" s="18" t="n">
        <v>0.99</v>
      </c>
      <c r="G113" s="22" t="n">
        <v>20.2020202020202</v>
      </c>
      <c r="H113" s="13" t="n">
        <f aca="false">G113*F113</f>
        <v>20</v>
      </c>
      <c r="I113" s="17" t="s">
        <v>59</v>
      </c>
      <c r="J113" s="5" t="n">
        <f aca="false">IF(D113=I113,1,0)</f>
        <v>1</v>
      </c>
      <c r="K113" s="13" t="n">
        <f aca="false">J113*G113-H113</f>
        <v>0.202020202020201</v>
      </c>
      <c r="L113" s="13" t="n">
        <f aca="false">G113*Summary!$C$5*F113*(1-F113)+G113*Summary!$C$6</f>
        <v>0.0139999999999999</v>
      </c>
      <c r="M113" s="13" t="n">
        <f aca="false">K113-L113</f>
        <v>0.188020202020201</v>
      </c>
      <c r="N113" s="23" t="n">
        <v>30</v>
      </c>
      <c r="O113" s="13" t="n">
        <f aca="false">SUMIFS($M$2:$M$1000,$C$2:$C$1000,"&lt;="&amp;C113)</f>
        <v>34.5856139912856</v>
      </c>
      <c r="P113" s="13" t="n">
        <f aca="false">O113-_xlfn.MAXIFS($O$2:$O$1000,$C$2:$C$1000,"&lt;="&amp;C113)</f>
        <v>0</v>
      </c>
      <c r="Q113" s="1"/>
      <c r="R113" s="1"/>
    </row>
    <row r="114" customFormat="false" ht="15" hidden="false" customHeight="false" outlineLevel="0" collapsed="false">
      <c r="A114" s="17" t="n">
        <v>208</v>
      </c>
      <c r="B114" s="17" t="s">
        <v>172</v>
      </c>
      <c r="C114" s="21" t="n">
        <v>46188.7256944445</v>
      </c>
      <c r="D114" s="17" t="s">
        <v>61</v>
      </c>
      <c r="E114" s="18" t="n">
        <v>0.99</v>
      </c>
      <c r="F114" s="18" t="n">
        <v>0.99</v>
      </c>
      <c r="G114" s="22" t="n">
        <v>20.2020202020202</v>
      </c>
      <c r="H114" s="13" t="n">
        <f aca="false">G114*F114</f>
        <v>20</v>
      </c>
      <c r="I114" s="17" t="s">
        <v>61</v>
      </c>
      <c r="J114" s="5" t="n">
        <f aca="false">IF(D114=I114,1,0)</f>
        <v>1</v>
      </c>
      <c r="K114" s="13" t="n">
        <f aca="false">J114*G114-H114</f>
        <v>0.202020202020201</v>
      </c>
      <c r="L114" s="13" t="n">
        <f aca="false">G114*Summary!$C$5*F114*(1-F114)+G114*Summary!$C$6</f>
        <v>0.0139999999999999</v>
      </c>
      <c r="M114" s="13" t="n">
        <f aca="false">K114-L114</f>
        <v>0.188020202020201</v>
      </c>
      <c r="N114" s="23" t="n">
        <v>30</v>
      </c>
      <c r="O114" s="13" t="n">
        <f aca="false">SUMIFS($M$2:$M$1000,$C$2:$C$1000,"&lt;="&amp;C114)</f>
        <v>34.7736341933058</v>
      </c>
      <c r="P114" s="13" t="n">
        <f aca="false">O114-_xlfn.MAXIFS($O$2:$O$1000,$C$2:$C$1000,"&lt;="&amp;C114)</f>
        <v>0</v>
      </c>
      <c r="Q114" s="1"/>
      <c r="R114" s="1"/>
    </row>
    <row r="115" customFormat="false" ht="15" hidden="false" customHeight="false" outlineLevel="0" collapsed="false">
      <c r="A115" s="17" t="n">
        <v>209</v>
      </c>
      <c r="B115" s="17" t="s">
        <v>173</v>
      </c>
      <c r="C115" s="21" t="n">
        <v>46188.7291666667</v>
      </c>
      <c r="D115" s="17" t="s">
        <v>61</v>
      </c>
      <c r="E115" s="18" t="n">
        <v>0.98</v>
      </c>
      <c r="F115" s="18" t="n">
        <v>0.98</v>
      </c>
      <c r="G115" s="22" t="n">
        <v>20.4081632653061</v>
      </c>
      <c r="H115" s="13" t="n">
        <f aca="false">G115*F115</f>
        <v>20</v>
      </c>
      <c r="I115" s="17" t="s">
        <v>61</v>
      </c>
      <c r="J115" s="5" t="n">
        <f aca="false">IF(D115=I115,1,0)</f>
        <v>1</v>
      </c>
      <c r="K115" s="13" t="n">
        <f aca="false">J115*G115-H115</f>
        <v>0.408163265306122</v>
      </c>
      <c r="L115" s="13" t="n">
        <f aca="false">G115*Summary!$C$5*F115*(1-F115)+G115*Summary!$C$6</f>
        <v>0.028</v>
      </c>
      <c r="M115" s="13" t="n">
        <f aca="false">K115-L115</f>
        <v>0.380163265306122</v>
      </c>
      <c r="N115" s="23" t="n">
        <v>25</v>
      </c>
      <c r="O115" s="13" t="n">
        <f aca="false">SUMIFS($M$2:$M$1000,$C$2:$C$1000,"&lt;="&amp;C115)</f>
        <v>35.1537974586119</v>
      </c>
      <c r="P115" s="13" t="n">
        <f aca="false">O115-_xlfn.MAXIFS($O$2:$O$1000,$C$2:$C$1000,"&lt;="&amp;C115)</f>
        <v>0</v>
      </c>
      <c r="Q115" s="1"/>
      <c r="R115" s="1"/>
    </row>
    <row r="116" customFormat="false" ht="15" hidden="false" customHeight="false" outlineLevel="0" collapsed="false">
      <c r="A116" s="17" t="n">
        <v>210</v>
      </c>
      <c r="B116" s="17" t="s">
        <v>174</v>
      </c>
      <c r="C116" s="21" t="n">
        <v>46188.7326388889</v>
      </c>
      <c r="D116" s="17" t="s">
        <v>61</v>
      </c>
      <c r="E116" s="18" t="n">
        <v>0.99</v>
      </c>
      <c r="F116" s="18" t="n">
        <v>0.99</v>
      </c>
      <c r="G116" s="22" t="n">
        <v>8.76000022888184</v>
      </c>
      <c r="H116" s="13" t="n">
        <f aca="false">G116*F116</f>
        <v>8.67240022659302</v>
      </c>
      <c r="I116" s="17" t="s">
        <v>61</v>
      </c>
      <c r="J116" s="5" t="n">
        <f aca="false">IF(D116=I116,1,0)</f>
        <v>1</v>
      </c>
      <c r="K116" s="13" t="n">
        <f aca="false">J116*G116-H116</f>
        <v>0.0876000022888182</v>
      </c>
      <c r="L116" s="13" t="n">
        <f aca="false">G116*Summary!$C$5*F116*(1-F116)+G116*Summary!$C$6</f>
        <v>0.00607068015861512</v>
      </c>
      <c r="M116" s="13" t="n">
        <f aca="false">K116-L116</f>
        <v>0.081529322130203</v>
      </c>
      <c r="N116" s="23" t="n">
        <v>30</v>
      </c>
      <c r="O116" s="13" t="n">
        <f aca="false">SUMIFS($M$2:$M$1000,$C$2:$C$1000,"&lt;="&amp;C116)</f>
        <v>35.2353267807421</v>
      </c>
      <c r="P116" s="13" t="n">
        <f aca="false">O116-_xlfn.MAXIFS($O$2:$O$1000,$C$2:$C$1000,"&lt;="&amp;C116)</f>
        <v>0</v>
      </c>
      <c r="Q116" s="1"/>
      <c r="R116" s="1"/>
    </row>
    <row r="117" customFormat="false" ht="15" hidden="false" customHeight="false" outlineLevel="0" collapsed="false">
      <c r="A117" s="17" t="n">
        <v>212</v>
      </c>
      <c r="B117" s="17" t="s">
        <v>175</v>
      </c>
      <c r="C117" s="21" t="n">
        <v>46188.7395833333</v>
      </c>
      <c r="D117" s="17" t="s">
        <v>59</v>
      </c>
      <c r="E117" s="18" t="n">
        <v>0.99</v>
      </c>
      <c r="F117" s="18" t="n">
        <v>0.99</v>
      </c>
      <c r="G117" s="22" t="n">
        <v>20.2020202020202</v>
      </c>
      <c r="H117" s="13" t="n">
        <f aca="false">G117*F117</f>
        <v>20</v>
      </c>
      <c r="I117" s="17" t="s">
        <v>59</v>
      </c>
      <c r="J117" s="5" t="n">
        <f aca="false">IF(D117=I117,1,0)</f>
        <v>1</v>
      </c>
      <c r="K117" s="13" t="n">
        <f aca="false">J117*G117-H117</f>
        <v>0.202020202020201</v>
      </c>
      <c r="L117" s="13" t="n">
        <f aca="false">G117*Summary!$C$5*F117*(1-F117)+G117*Summary!$C$6</f>
        <v>0.0139999999999999</v>
      </c>
      <c r="M117" s="13" t="n">
        <f aca="false">K117-L117</f>
        <v>0.188020202020201</v>
      </c>
      <c r="N117" s="23" t="n">
        <v>20</v>
      </c>
      <c r="O117" s="13" t="n">
        <f aca="false">SUMIFS($M$2:$M$1000,$C$2:$C$1000,"&lt;="&amp;C117)</f>
        <v>35.4233469827623</v>
      </c>
      <c r="P117" s="13" t="n">
        <f aca="false">O117-_xlfn.MAXIFS($O$2:$O$1000,$C$2:$C$1000,"&lt;="&amp;C117)</f>
        <v>0</v>
      </c>
      <c r="Q117" s="1"/>
      <c r="R117" s="1"/>
    </row>
    <row r="118" customFormat="false" ht="15" hidden="false" customHeight="false" outlineLevel="0" collapsed="false">
      <c r="A118" s="17" t="n">
        <v>213</v>
      </c>
      <c r="B118" s="17" t="s">
        <v>176</v>
      </c>
      <c r="C118" s="21" t="n">
        <v>46188.7430555556</v>
      </c>
      <c r="D118" s="17" t="s">
        <v>59</v>
      </c>
      <c r="E118" s="18" t="n">
        <v>0.98</v>
      </c>
      <c r="F118" s="18" t="n">
        <v>0.98</v>
      </c>
      <c r="G118" s="22" t="n">
        <v>20.4081632653061</v>
      </c>
      <c r="H118" s="13" t="n">
        <f aca="false">G118*F118</f>
        <v>20</v>
      </c>
      <c r="I118" s="17" t="s">
        <v>59</v>
      </c>
      <c r="J118" s="5" t="n">
        <f aca="false">IF(D118=I118,1,0)</f>
        <v>1</v>
      </c>
      <c r="K118" s="13" t="n">
        <f aca="false">J118*G118-H118</f>
        <v>0.408163265306122</v>
      </c>
      <c r="L118" s="13" t="n">
        <f aca="false">G118*Summary!$C$5*F118*(1-F118)+G118*Summary!$C$6</f>
        <v>0.028</v>
      </c>
      <c r="M118" s="13" t="n">
        <f aca="false">K118-L118</f>
        <v>0.380163265306122</v>
      </c>
      <c r="N118" s="23" t="n">
        <v>29.5</v>
      </c>
      <c r="O118" s="13" t="n">
        <f aca="false">SUMIFS($M$2:$M$1000,$C$2:$C$1000,"&lt;="&amp;C118)</f>
        <v>35.8035102480684</v>
      </c>
      <c r="P118" s="13" t="n">
        <f aca="false">O118-_xlfn.MAXIFS($O$2:$O$1000,$C$2:$C$1000,"&lt;="&amp;C118)</f>
        <v>0</v>
      </c>
      <c r="Q118" s="1"/>
      <c r="R118" s="1"/>
    </row>
    <row r="119" customFormat="false" ht="15" hidden="false" customHeight="false" outlineLevel="0" collapsed="false">
      <c r="A119" s="17" t="n">
        <v>215</v>
      </c>
      <c r="B119" s="17" t="s">
        <v>177</v>
      </c>
      <c r="C119" s="21" t="n">
        <v>46188.75</v>
      </c>
      <c r="D119" s="17" t="s">
        <v>61</v>
      </c>
      <c r="E119" s="18" t="n">
        <v>0.99</v>
      </c>
      <c r="F119" s="18" t="n">
        <v>0.99</v>
      </c>
      <c r="G119" s="22" t="n">
        <v>20.2020202020202</v>
      </c>
      <c r="H119" s="13" t="n">
        <f aca="false">G119*F119</f>
        <v>20</v>
      </c>
      <c r="I119" s="17" t="s">
        <v>61</v>
      </c>
      <c r="J119" s="5" t="n">
        <f aca="false">IF(D119=I119,1,0)</f>
        <v>1</v>
      </c>
      <c r="K119" s="13" t="n">
        <f aca="false">J119*G119-H119</f>
        <v>0.202020202020201</v>
      </c>
      <c r="L119" s="13" t="n">
        <f aca="false">G119*Summary!$C$5*F119*(1-F119)+G119*Summary!$C$6</f>
        <v>0.0139999999999999</v>
      </c>
      <c r="M119" s="13" t="n">
        <f aca="false">K119-L119</f>
        <v>0.188020202020201</v>
      </c>
      <c r="N119" s="23" t="n">
        <v>30</v>
      </c>
      <c r="O119" s="13" t="n">
        <f aca="false">SUMIFS($M$2:$M$1000,$C$2:$C$1000,"&lt;="&amp;C119)</f>
        <v>35.9915304500886</v>
      </c>
      <c r="P119" s="13" t="n">
        <f aca="false">O119-_xlfn.MAXIFS($O$2:$O$1000,$C$2:$C$1000,"&lt;="&amp;C119)</f>
        <v>0</v>
      </c>
      <c r="Q119" s="1"/>
      <c r="R119" s="1"/>
    </row>
    <row r="120" customFormat="false" ht="15" hidden="false" customHeight="false" outlineLevel="0" collapsed="false">
      <c r="A120" s="17" t="n">
        <v>216</v>
      </c>
      <c r="B120" s="17" t="s">
        <v>178</v>
      </c>
      <c r="C120" s="21" t="n">
        <v>46188.7534722222</v>
      </c>
      <c r="D120" s="17" t="s">
        <v>61</v>
      </c>
      <c r="E120" s="18" t="n">
        <v>0.98</v>
      </c>
      <c r="F120" s="18" t="n">
        <v>0.98</v>
      </c>
      <c r="G120" s="22" t="n">
        <v>20.4081632653061</v>
      </c>
      <c r="H120" s="13" t="n">
        <f aca="false">G120*F120</f>
        <v>20</v>
      </c>
      <c r="I120" s="17" t="s">
        <v>61</v>
      </c>
      <c r="J120" s="5" t="n">
        <f aca="false">IF(D120=I120,1,0)</f>
        <v>1</v>
      </c>
      <c r="K120" s="13" t="n">
        <f aca="false">J120*G120-H120</f>
        <v>0.408163265306122</v>
      </c>
      <c r="L120" s="13" t="n">
        <f aca="false">G120*Summary!$C$5*F120*(1-F120)+G120*Summary!$C$6</f>
        <v>0.028</v>
      </c>
      <c r="M120" s="13" t="n">
        <f aca="false">K120-L120</f>
        <v>0.380163265306122</v>
      </c>
      <c r="N120" s="23" t="n">
        <v>30</v>
      </c>
      <c r="O120" s="13" t="n">
        <f aca="false">SUMIFS($M$2:$M$1000,$C$2:$C$1000,"&lt;="&amp;C120)</f>
        <v>36.3716937153948</v>
      </c>
      <c r="P120" s="13" t="n">
        <f aca="false">O120-_xlfn.MAXIFS($O$2:$O$1000,$C$2:$C$1000,"&lt;="&amp;C120)</f>
        <v>0</v>
      </c>
      <c r="Q120" s="1"/>
      <c r="R120" s="1"/>
    </row>
    <row r="121" customFormat="false" ht="15" hidden="false" customHeight="false" outlineLevel="0" collapsed="false">
      <c r="A121" s="17" t="n">
        <v>218</v>
      </c>
      <c r="B121" s="17" t="s">
        <v>179</v>
      </c>
      <c r="C121" s="21" t="n">
        <v>46188.7604166667</v>
      </c>
      <c r="D121" s="17" t="s">
        <v>59</v>
      </c>
      <c r="E121" s="18" t="n">
        <v>0.98</v>
      </c>
      <c r="F121" s="18" t="n">
        <v>0.98</v>
      </c>
      <c r="G121" s="22" t="n">
        <v>20.4081632653061</v>
      </c>
      <c r="H121" s="13" t="n">
        <f aca="false">G121*F121</f>
        <v>20</v>
      </c>
      <c r="I121" s="17" t="s">
        <v>59</v>
      </c>
      <c r="J121" s="5" t="n">
        <f aca="false">IF(D121=I121,1,0)</f>
        <v>1</v>
      </c>
      <c r="K121" s="13" t="n">
        <f aca="false">J121*G121-H121</f>
        <v>0.408163265306122</v>
      </c>
      <c r="L121" s="13" t="n">
        <f aca="false">G121*Summary!$C$5*F121*(1-F121)+G121*Summary!$C$6</f>
        <v>0.028</v>
      </c>
      <c r="M121" s="13" t="n">
        <f aca="false">K121-L121</f>
        <v>0.380163265306122</v>
      </c>
      <c r="N121" s="23" t="n">
        <v>4</v>
      </c>
      <c r="O121" s="13" t="n">
        <f aca="false">SUMIFS($M$2:$M$1000,$C$2:$C$1000,"&lt;="&amp;C121)</f>
        <v>36.7518569807009</v>
      </c>
      <c r="P121" s="13" t="n">
        <f aca="false">O121-_xlfn.MAXIFS($O$2:$O$1000,$C$2:$C$1000,"&lt;="&amp;C121)</f>
        <v>0</v>
      </c>
      <c r="Q121" s="1"/>
      <c r="R121" s="1"/>
    </row>
    <row r="122" customFormat="false" ht="15" hidden="false" customHeight="false" outlineLevel="0" collapsed="false">
      <c r="A122" s="17" t="n">
        <v>219</v>
      </c>
      <c r="B122" s="17" t="s">
        <v>180</v>
      </c>
      <c r="C122" s="21" t="n">
        <v>46188.7638888889</v>
      </c>
      <c r="D122" s="17" t="s">
        <v>59</v>
      </c>
      <c r="E122" s="18" t="n">
        <v>0.98</v>
      </c>
      <c r="F122" s="18" t="n">
        <v>0.98</v>
      </c>
      <c r="G122" s="22" t="n">
        <v>20.4081632653061</v>
      </c>
      <c r="H122" s="13" t="n">
        <f aca="false">G122*F122</f>
        <v>20</v>
      </c>
      <c r="I122" s="17" t="s">
        <v>59</v>
      </c>
      <c r="J122" s="5" t="n">
        <f aca="false">IF(D122=I122,1,0)</f>
        <v>1</v>
      </c>
      <c r="K122" s="13" t="n">
        <f aca="false">J122*G122-H122</f>
        <v>0.408163265306122</v>
      </c>
      <c r="L122" s="13" t="n">
        <f aca="false">G122*Summary!$C$5*F122*(1-F122)+G122*Summary!$C$6</f>
        <v>0.028</v>
      </c>
      <c r="M122" s="13" t="n">
        <f aca="false">K122-L122</f>
        <v>0.380163265306122</v>
      </c>
      <c r="N122" s="23" t="n">
        <v>11.5</v>
      </c>
      <c r="O122" s="13" t="n">
        <f aca="false">SUMIFS($M$2:$M$1000,$C$2:$C$1000,"&lt;="&amp;C122)</f>
        <v>37.132020246007</v>
      </c>
      <c r="P122" s="13" t="n">
        <f aca="false">O122-_xlfn.MAXIFS($O$2:$O$1000,$C$2:$C$1000,"&lt;="&amp;C122)</f>
        <v>0</v>
      </c>
      <c r="Q122" s="1"/>
      <c r="R122" s="1"/>
    </row>
    <row r="123" customFormat="false" ht="15" hidden="false" customHeight="false" outlineLevel="0" collapsed="false">
      <c r="A123" s="17" t="n">
        <v>221</v>
      </c>
      <c r="B123" s="17" t="s">
        <v>181</v>
      </c>
      <c r="C123" s="21" t="n">
        <v>46188.7708333333</v>
      </c>
      <c r="D123" s="17" t="s">
        <v>61</v>
      </c>
      <c r="E123" s="18" t="n">
        <v>0.98</v>
      </c>
      <c r="F123" s="18" t="n">
        <v>0.98</v>
      </c>
      <c r="G123" s="22" t="n">
        <v>20.4081632653061</v>
      </c>
      <c r="H123" s="13" t="n">
        <f aca="false">G123*F123</f>
        <v>20</v>
      </c>
      <c r="I123" s="17" t="s">
        <v>61</v>
      </c>
      <c r="J123" s="5" t="n">
        <f aca="false">IF(D123=I123,1,0)</f>
        <v>1</v>
      </c>
      <c r="K123" s="13" t="n">
        <f aca="false">J123*G123-H123</f>
        <v>0.408163265306122</v>
      </c>
      <c r="L123" s="13" t="n">
        <f aca="false">G123*Summary!$C$5*F123*(1-F123)+G123*Summary!$C$6</f>
        <v>0.028</v>
      </c>
      <c r="M123" s="13" t="n">
        <f aca="false">K123-L123</f>
        <v>0.380163265306122</v>
      </c>
      <c r="N123" s="23" t="n">
        <v>18.5</v>
      </c>
      <c r="O123" s="13" t="n">
        <f aca="false">SUMIFS($M$2:$M$1000,$C$2:$C$1000,"&lt;="&amp;C123)</f>
        <v>37.5121835113131</v>
      </c>
      <c r="P123" s="13" t="n">
        <f aca="false">O123-_xlfn.MAXIFS($O$2:$O$1000,$C$2:$C$1000,"&lt;="&amp;C123)</f>
        <v>0</v>
      </c>
      <c r="Q123" s="1"/>
      <c r="R123" s="1"/>
    </row>
    <row r="124" customFormat="false" ht="15" hidden="false" customHeight="false" outlineLevel="0" collapsed="false">
      <c r="A124" s="17" t="n">
        <v>222</v>
      </c>
      <c r="B124" s="17" t="s">
        <v>182</v>
      </c>
      <c r="C124" s="21" t="n">
        <v>46188.7743055556</v>
      </c>
      <c r="D124" s="17" t="s">
        <v>59</v>
      </c>
      <c r="E124" s="18" t="n">
        <v>0.98</v>
      </c>
      <c r="F124" s="18" t="n">
        <v>0.98</v>
      </c>
      <c r="G124" s="22" t="n">
        <v>20.4081632653061</v>
      </c>
      <c r="H124" s="13" t="n">
        <f aca="false">G124*F124</f>
        <v>20</v>
      </c>
      <c r="I124" s="17" t="s">
        <v>59</v>
      </c>
      <c r="J124" s="5" t="n">
        <f aca="false">IF(D124=I124,1,0)</f>
        <v>1</v>
      </c>
      <c r="K124" s="13" t="n">
        <f aca="false">J124*G124-H124</f>
        <v>0.408163265306122</v>
      </c>
      <c r="L124" s="13" t="n">
        <f aca="false">G124*Summary!$C$5*F124*(1-F124)+G124*Summary!$C$6</f>
        <v>0.028</v>
      </c>
      <c r="M124" s="13" t="n">
        <f aca="false">K124-L124</f>
        <v>0.380163265306122</v>
      </c>
      <c r="N124" s="23" t="n">
        <v>3</v>
      </c>
      <c r="O124" s="13" t="n">
        <f aca="false">SUMIFS($M$2:$M$1000,$C$2:$C$1000,"&lt;="&amp;C124)</f>
        <v>37.8923467766193</v>
      </c>
      <c r="P124" s="13" t="n">
        <f aca="false">O124-_xlfn.MAXIFS($O$2:$O$1000,$C$2:$C$1000,"&lt;="&amp;C124)</f>
        <v>0</v>
      </c>
      <c r="Q124" s="1"/>
      <c r="R124" s="1"/>
    </row>
    <row r="125" customFormat="false" ht="15" hidden="false" customHeight="false" outlineLevel="0" collapsed="false">
      <c r="A125" s="17" t="n">
        <v>224</v>
      </c>
      <c r="B125" s="17" t="s">
        <v>183</v>
      </c>
      <c r="C125" s="21" t="n">
        <v>46188.78125</v>
      </c>
      <c r="D125" s="17" t="s">
        <v>61</v>
      </c>
      <c r="E125" s="18" t="n">
        <v>0.98</v>
      </c>
      <c r="F125" s="18" t="n">
        <v>0.98</v>
      </c>
      <c r="G125" s="22" t="n">
        <v>20.4081632653061</v>
      </c>
      <c r="H125" s="13" t="n">
        <f aca="false">G125*F125</f>
        <v>20</v>
      </c>
      <c r="I125" s="17" t="s">
        <v>61</v>
      </c>
      <c r="J125" s="5" t="n">
        <f aca="false">IF(D125=I125,1,0)</f>
        <v>1</v>
      </c>
      <c r="K125" s="13" t="n">
        <f aca="false">J125*G125-H125</f>
        <v>0.408163265306122</v>
      </c>
      <c r="L125" s="13" t="n">
        <f aca="false">G125*Summary!$C$5*F125*(1-F125)+G125*Summary!$C$6</f>
        <v>0.028</v>
      </c>
      <c r="M125" s="13" t="n">
        <f aca="false">K125-L125</f>
        <v>0.380163265306122</v>
      </c>
      <c r="N125" s="23" t="n">
        <v>9</v>
      </c>
      <c r="O125" s="13" t="n">
        <f aca="false">SUMIFS($M$2:$M$1000,$C$2:$C$1000,"&lt;="&amp;C125)</f>
        <v>38.2725100419254</v>
      </c>
      <c r="P125" s="13" t="n">
        <f aca="false">O125-_xlfn.MAXIFS($O$2:$O$1000,$C$2:$C$1000,"&lt;="&amp;C125)</f>
        <v>0</v>
      </c>
      <c r="Q125" s="1"/>
      <c r="R125" s="1"/>
    </row>
    <row r="126" customFormat="false" ht="15" hidden="false" customHeight="false" outlineLevel="0" collapsed="false">
      <c r="A126" s="17" t="n">
        <v>229</v>
      </c>
      <c r="B126" s="17" t="s">
        <v>184</v>
      </c>
      <c r="C126" s="21" t="n">
        <v>46188.7986111111</v>
      </c>
      <c r="D126" s="17" t="s">
        <v>59</v>
      </c>
      <c r="E126" s="18" t="n">
        <v>0.99</v>
      </c>
      <c r="F126" s="18" t="n">
        <v>0.99</v>
      </c>
      <c r="G126" s="22" t="n">
        <v>20.2020202020202</v>
      </c>
      <c r="H126" s="13" t="n">
        <f aca="false">G126*F126</f>
        <v>20</v>
      </c>
      <c r="I126" s="17" t="s">
        <v>59</v>
      </c>
      <c r="J126" s="5" t="n">
        <f aca="false">IF(D126=I126,1,0)</f>
        <v>1</v>
      </c>
      <c r="K126" s="13" t="n">
        <f aca="false">J126*G126-H126</f>
        <v>0.202020202020201</v>
      </c>
      <c r="L126" s="13" t="n">
        <f aca="false">G126*Summary!$C$5*F126*(1-F126)+G126*Summary!$C$6</f>
        <v>0.0139999999999999</v>
      </c>
      <c r="M126" s="13" t="n">
        <f aca="false">K126-L126</f>
        <v>0.188020202020201</v>
      </c>
      <c r="N126" s="23" t="n">
        <v>3</v>
      </c>
      <c r="O126" s="13" t="n">
        <f aca="false">SUMIFS($M$2:$M$1000,$C$2:$C$1000,"&lt;="&amp;C126)</f>
        <v>38.4605302439456</v>
      </c>
      <c r="P126" s="13" t="n">
        <f aca="false">O126-_xlfn.MAXIFS($O$2:$O$1000,$C$2:$C$1000,"&lt;="&amp;C126)</f>
        <v>0</v>
      </c>
      <c r="Q126" s="1"/>
      <c r="R126" s="1"/>
    </row>
    <row r="127" customFormat="false" ht="15" hidden="false" customHeight="false" outlineLevel="0" collapsed="false">
      <c r="A127" s="17" t="n">
        <v>233</v>
      </c>
      <c r="B127" s="17" t="s">
        <v>185</v>
      </c>
      <c r="C127" s="21" t="n">
        <v>46188.8125</v>
      </c>
      <c r="D127" s="17" t="s">
        <v>61</v>
      </c>
      <c r="E127" s="18" t="n">
        <v>0.98</v>
      </c>
      <c r="F127" s="18" t="n">
        <v>0.98</v>
      </c>
      <c r="G127" s="22" t="n">
        <v>20.4081632653061</v>
      </c>
      <c r="H127" s="13" t="n">
        <f aca="false">G127*F127</f>
        <v>20</v>
      </c>
      <c r="I127" s="17" t="s">
        <v>61</v>
      </c>
      <c r="J127" s="5" t="n">
        <f aca="false">IF(D127=I127,1,0)</f>
        <v>1</v>
      </c>
      <c r="K127" s="13" t="n">
        <f aca="false">J127*G127-H127</f>
        <v>0.408163265306122</v>
      </c>
      <c r="L127" s="13" t="n">
        <f aca="false">G127*Summary!$C$5*F127*(1-F127)+G127*Summary!$C$6</f>
        <v>0.028</v>
      </c>
      <c r="M127" s="13" t="n">
        <f aca="false">K127-L127</f>
        <v>0.380163265306122</v>
      </c>
      <c r="N127" s="23" t="n">
        <v>11</v>
      </c>
      <c r="O127" s="13" t="n">
        <f aca="false">SUMIFS($M$2:$M$1000,$C$2:$C$1000,"&lt;="&amp;C127)</f>
        <v>38.8406935092517</v>
      </c>
      <c r="P127" s="13" t="n">
        <f aca="false">O127-_xlfn.MAXIFS($O$2:$O$1000,$C$2:$C$1000,"&lt;="&amp;C127)</f>
        <v>0</v>
      </c>
      <c r="Q127" s="1"/>
      <c r="R127" s="1"/>
    </row>
    <row r="128" customFormat="false" ht="15" hidden="false" customHeight="false" outlineLevel="0" collapsed="false">
      <c r="A128" s="17" t="n">
        <v>236</v>
      </c>
      <c r="B128" s="17" t="s">
        <v>186</v>
      </c>
      <c r="C128" s="21" t="n">
        <v>46188.8229166667</v>
      </c>
      <c r="D128" s="17" t="s">
        <v>59</v>
      </c>
      <c r="E128" s="18" t="n">
        <v>0.98</v>
      </c>
      <c r="F128" s="18" t="n">
        <v>0.98</v>
      </c>
      <c r="G128" s="22" t="n">
        <v>20.4081632653061</v>
      </c>
      <c r="H128" s="13" t="n">
        <f aca="false">G128*F128</f>
        <v>20</v>
      </c>
      <c r="I128" s="17" t="s">
        <v>59</v>
      </c>
      <c r="J128" s="5" t="n">
        <f aca="false">IF(D128=I128,1,0)</f>
        <v>1</v>
      </c>
      <c r="K128" s="13" t="n">
        <f aca="false">J128*G128-H128</f>
        <v>0.408163265306122</v>
      </c>
      <c r="L128" s="13" t="n">
        <f aca="false">G128*Summary!$C$5*F128*(1-F128)+G128*Summary!$C$6</f>
        <v>0.028</v>
      </c>
      <c r="M128" s="13" t="n">
        <f aca="false">K128-L128</f>
        <v>0.380163265306122</v>
      </c>
      <c r="N128" s="23" t="n">
        <v>22</v>
      </c>
      <c r="O128" s="13" t="n">
        <f aca="false">SUMIFS($M$2:$M$1000,$C$2:$C$1000,"&lt;="&amp;C128)</f>
        <v>39.2208567745578</v>
      </c>
      <c r="P128" s="13" t="n">
        <f aca="false">O128-_xlfn.MAXIFS($O$2:$O$1000,$C$2:$C$1000,"&lt;="&amp;C128)</f>
        <v>0</v>
      </c>
      <c r="Q128" s="1"/>
      <c r="R128" s="1"/>
    </row>
    <row r="129" customFormat="false" ht="15" hidden="false" customHeight="false" outlineLevel="0" collapsed="false">
      <c r="A129" s="17" t="n">
        <v>238</v>
      </c>
      <c r="B129" s="17" t="s">
        <v>187</v>
      </c>
      <c r="C129" s="21" t="n">
        <v>46188.8298611111</v>
      </c>
      <c r="D129" s="17" t="s">
        <v>59</v>
      </c>
      <c r="E129" s="18" t="n">
        <v>0.98</v>
      </c>
      <c r="F129" s="18" t="n">
        <v>0.98</v>
      </c>
      <c r="G129" s="22" t="n">
        <v>20.4081632653061</v>
      </c>
      <c r="H129" s="13" t="n">
        <f aca="false">G129*F129</f>
        <v>20</v>
      </c>
      <c r="I129" s="17" t="s">
        <v>59</v>
      </c>
      <c r="J129" s="5" t="n">
        <f aca="false">IF(D129=I129,1,0)</f>
        <v>1</v>
      </c>
      <c r="K129" s="13" t="n">
        <f aca="false">J129*G129-H129</f>
        <v>0.408163265306122</v>
      </c>
      <c r="L129" s="13" t="n">
        <f aca="false">G129*Summary!$C$5*F129*(1-F129)+G129*Summary!$C$6</f>
        <v>0.028</v>
      </c>
      <c r="M129" s="13" t="n">
        <f aca="false">K129-L129</f>
        <v>0.380163265306122</v>
      </c>
      <c r="N129" s="23" t="n">
        <v>29.5</v>
      </c>
      <c r="O129" s="13" t="n">
        <f aca="false">SUMIFS($M$2:$M$1000,$C$2:$C$1000,"&lt;="&amp;C129)</f>
        <v>39.6010200398639</v>
      </c>
      <c r="P129" s="13" t="n">
        <f aca="false">O129-_xlfn.MAXIFS($O$2:$O$1000,$C$2:$C$1000,"&lt;="&amp;C129)</f>
        <v>0</v>
      </c>
      <c r="Q129" s="1"/>
      <c r="R129" s="1"/>
    </row>
    <row r="130" customFormat="false" ht="15" hidden="false" customHeight="false" outlineLevel="0" collapsed="false">
      <c r="A130" s="17" t="n">
        <v>241</v>
      </c>
      <c r="B130" s="17" t="s">
        <v>188</v>
      </c>
      <c r="C130" s="21" t="n">
        <v>46188.8402777778</v>
      </c>
      <c r="D130" s="17" t="s">
        <v>59</v>
      </c>
      <c r="E130" s="18" t="n">
        <v>0.98</v>
      </c>
      <c r="F130" s="18" t="n">
        <v>0.98</v>
      </c>
      <c r="G130" s="22" t="n">
        <v>20.4081632653061</v>
      </c>
      <c r="H130" s="13" t="n">
        <f aca="false">G130*F130</f>
        <v>20</v>
      </c>
      <c r="I130" s="17" t="s">
        <v>59</v>
      </c>
      <c r="J130" s="5" t="n">
        <f aca="false">IF(D130=I130,1,0)</f>
        <v>1</v>
      </c>
      <c r="K130" s="13" t="n">
        <f aca="false">J130*G130-H130</f>
        <v>0.408163265306122</v>
      </c>
      <c r="L130" s="13" t="n">
        <f aca="false">G130*Summary!$C$5*F130*(1-F130)+G130*Summary!$C$6</f>
        <v>0.028</v>
      </c>
      <c r="M130" s="13" t="n">
        <f aca="false">K130-L130</f>
        <v>0.380163265306122</v>
      </c>
      <c r="N130" s="23" t="n">
        <v>5</v>
      </c>
      <c r="O130" s="13" t="n">
        <f aca="false">SUMIFS($M$2:$M$1000,$C$2:$C$1000,"&lt;="&amp;C130)</f>
        <v>39.9811833051701</v>
      </c>
      <c r="P130" s="13" t="n">
        <f aca="false">O130-_xlfn.MAXIFS($O$2:$O$1000,$C$2:$C$1000,"&lt;="&amp;C130)</f>
        <v>0</v>
      </c>
      <c r="Q130" s="1"/>
      <c r="R130" s="1"/>
    </row>
    <row r="131" customFormat="false" ht="15" hidden="false" customHeight="false" outlineLevel="0" collapsed="false">
      <c r="A131" s="17" t="n">
        <v>242</v>
      </c>
      <c r="B131" s="17" t="s">
        <v>189</v>
      </c>
      <c r="C131" s="21" t="n">
        <v>46188.84375</v>
      </c>
      <c r="D131" s="17" t="s">
        <v>61</v>
      </c>
      <c r="E131" s="18" t="n">
        <v>0.98</v>
      </c>
      <c r="F131" s="18" t="n">
        <v>0.98</v>
      </c>
      <c r="G131" s="22" t="n">
        <v>20.4081632653061</v>
      </c>
      <c r="H131" s="13" t="n">
        <f aca="false">G131*F131</f>
        <v>20</v>
      </c>
      <c r="I131" s="17" t="s">
        <v>61</v>
      </c>
      <c r="J131" s="5" t="n">
        <f aca="false">IF(D131=I131,1,0)</f>
        <v>1</v>
      </c>
      <c r="K131" s="13" t="n">
        <f aca="false">J131*G131-H131</f>
        <v>0.408163265306122</v>
      </c>
      <c r="L131" s="13" t="n">
        <f aca="false">G131*Summary!$C$5*F131*(1-F131)+G131*Summary!$C$6</f>
        <v>0.028</v>
      </c>
      <c r="M131" s="13" t="n">
        <f aca="false">K131-L131</f>
        <v>0.380163265306122</v>
      </c>
      <c r="N131" s="23" t="n">
        <v>14</v>
      </c>
      <c r="O131" s="13" t="n">
        <f aca="false">SUMIFS($M$2:$M$1000,$C$2:$C$1000,"&lt;="&amp;C131)</f>
        <v>40.3613465704762</v>
      </c>
      <c r="P131" s="13" t="n">
        <f aca="false">O131-_xlfn.MAXIFS($O$2:$O$1000,$C$2:$C$1000,"&lt;="&amp;C131)</f>
        <v>0</v>
      </c>
      <c r="Q131" s="1"/>
      <c r="R131" s="1"/>
    </row>
    <row r="132" customFormat="false" ht="15" hidden="false" customHeight="false" outlineLevel="0" collapsed="false">
      <c r="A132" s="17" t="n">
        <v>243</v>
      </c>
      <c r="B132" s="17" t="s">
        <v>190</v>
      </c>
      <c r="C132" s="21" t="n">
        <v>46188.8472222222</v>
      </c>
      <c r="D132" s="17" t="s">
        <v>61</v>
      </c>
      <c r="E132" s="18" t="n">
        <v>0.99</v>
      </c>
      <c r="F132" s="18" t="n">
        <v>0.99</v>
      </c>
      <c r="G132" s="22" t="n">
        <v>20.2020202020202</v>
      </c>
      <c r="H132" s="13" t="n">
        <f aca="false">G132*F132</f>
        <v>20</v>
      </c>
      <c r="I132" s="17" t="s">
        <v>61</v>
      </c>
      <c r="J132" s="5" t="n">
        <f aca="false">IF(D132=I132,1,0)</f>
        <v>1</v>
      </c>
      <c r="K132" s="13" t="n">
        <f aca="false">J132*G132-H132</f>
        <v>0.202020202020201</v>
      </c>
      <c r="L132" s="13" t="n">
        <f aca="false">G132*Summary!$C$5*F132*(1-F132)+G132*Summary!$C$6</f>
        <v>0.0139999999999999</v>
      </c>
      <c r="M132" s="13" t="n">
        <f aca="false">K132-L132</f>
        <v>0.188020202020201</v>
      </c>
      <c r="N132" s="23" t="n">
        <v>3.5</v>
      </c>
      <c r="O132" s="13" t="n">
        <f aca="false">SUMIFS($M$2:$M$1000,$C$2:$C$1000,"&lt;="&amp;C132)</f>
        <v>40.5493667724964</v>
      </c>
      <c r="P132" s="13" t="n">
        <f aca="false">O132-_xlfn.MAXIFS($O$2:$O$1000,$C$2:$C$1000,"&lt;="&amp;C132)</f>
        <v>0</v>
      </c>
      <c r="Q132" s="1"/>
      <c r="R132" s="1"/>
    </row>
    <row r="133" customFormat="false" ht="15" hidden="false" customHeight="false" outlineLevel="0" collapsed="false">
      <c r="A133" s="17" t="n">
        <v>245</v>
      </c>
      <c r="B133" s="17" t="s">
        <v>191</v>
      </c>
      <c r="C133" s="21" t="n">
        <v>46188.8541666667</v>
      </c>
      <c r="D133" s="17" t="s">
        <v>59</v>
      </c>
      <c r="E133" s="18" t="n">
        <v>0.99</v>
      </c>
      <c r="F133" s="18" t="n">
        <v>0.99</v>
      </c>
      <c r="G133" s="22" t="n">
        <v>20.2020202020202</v>
      </c>
      <c r="H133" s="13" t="n">
        <f aca="false">G133*F133</f>
        <v>20</v>
      </c>
      <c r="I133" s="17" t="s">
        <v>59</v>
      </c>
      <c r="J133" s="5" t="n">
        <f aca="false">IF(D133=I133,1,0)</f>
        <v>1</v>
      </c>
      <c r="K133" s="13" t="n">
        <f aca="false">J133*G133-H133</f>
        <v>0.202020202020201</v>
      </c>
      <c r="L133" s="13" t="n">
        <f aca="false">G133*Summary!$C$5*F133*(1-F133)+G133*Summary!$C$6</f>
        <v>0.0139999999999999</v>
      </c>
      <c r="M133" s="13" t="n">
        <f aca="false">K133-L133</f>
        <v>0.188020202020201</v>
      </c>
      <c r="N133" s="23" t="n">
        <v>6.5</v>
      </c>
      <c r="O133" s="13" t="n">
        <f aca="false">SUMIFS($M$2:$M$1000,$C$2:$C$1000,"&lt;="&amp;C133)</f>
        <v>40.7373869745166</v>
      </c>
      <c r="P133" s="13" t="n">
        <f aca="false">O133-_xlfn.MAXIFS($O$2:$O$1000,$C$2:$C$1000,"&lt;="&amp;C133)</f>
        <v>0</v>
      </c>
      <c r="Q133" s="1"/>
      <c r="R133" s="1"/>
    </row>
    <row r="134" customFormat="false" ht="15" hidden="false" customHeight="false" outlineLevel="0" collapsed="false">
      <c r="A134" s="17" t="n">
        <v>247</v>
      </c>
      <c r="B134" s="17" t="s">
        <v>192</v>
      </c>
      <c r="C134" s="21" t="n">
        <v>46188.8611111111</v>
      </c>
      <c r="D134" s="17" t="s">
        <v>61</v>
      </c>
      <c r="E134" s="18" t="n">
        <v>0.98</v>
      </c>
      <c r="F134" s="18" t="n">
        <v>0.98</v>
      </c>
      <c r="G134" s="22" t="n">
        <v>20.4081632653061</v>
      </c>
      <c r="H134" s="13" t="n">
        <f aca="false">G134*F134</f>
        <v>20</v>
      </c>
      <c r="I134" s="17" t="s">
        <v>61</v>
      </c>
      <c r="J134" s="5" t="n">
        <f aca="false">IF(D134=I134,1,0)</f>
        <v>1</v>
      </c>
      <c r="K134" s="13" t="n">
        <f aca="false">J134*G134-H134</f>
        <v>0.408163265306122</v>
      </c>
      <c r="L134" s="13" t="n">
        <f aca="false">G134*Summary!$C$5*F134*(1-F134)+G134*Summary!$C$6</f>
        <v>0.028</v>
      </c>
      <c r="M134" s="13" t="n">
        <f aca="false">K134-L134</f>
        <v>0.380163265306122</v>
      </c>
      <c r="N134" s="23" t="n">
        <v>23.5</v>
      </c>
      <c r="O134" s="13" t="n">
        <f aca="false">SUMIFS($M$2:$M$1000,$C$2:$C$1000,"&lt;="&amp;C134)</f>
        <v>41.1175502398227</v>
      </c>
      <c r="P134" s="13" t="n">
        <f aca="false">O134-_xlfn.MAXIFS($O$2:$O$1000,$C$2:$C$1000,"&lt;="&amp;C134)</f>
        <v>0</v>
      </c>
      <c r="Q134" s="1"/>
      <c r="R134" s="1"/>
    </row>
    <row r="135" customFormat="false" ht="15" hidden="false" customHeight="false" outlineLevel="0" collapsed="false">
      <c r="A135" s="17" t="n">
        <v>250</v>
      </c>
      <c r="B135" s="17" t="s">
        <v>193</v>
      </c>
      <c r="C135" s="21" t="n">
        <v>46188.8715277778</v>
      </c>
      <c r="D135" s="17" t="s">
        <v>59</v>
      </c>
      <c r="E135" s="18" t="n">
        <v>0.98</v>
      </c>
      <c r="F135" s="18" t="n">
        <v>0.98</v>
      </c>
      <c r="G135" s="22" t="n">
        <v>20.4081632653061</v>
      </c>
      <c r="H135" s="13" t="n">
        <f aca="false">G135*F135</f>
        <v>20</v>
      </c>
      <c r="I135" s="17" t="s">
        <v>59</v>
      </c>
      <c r="J135" s="5" t="n">
        <f aca="false">IF(D135=I135,1,0)</f>
        <v>1</v>
      </c>
      <c r="K135" s="13" t="n">
        <f aca="false">J135*G135-H135</f>
        <v>0.408163265306122</v>
      </c>
      <c r="L135" s="13" t="n">
        <f aca="false">G135*Summary!$C$5*F135*(1-F135)+G135*Summary!$C$6</f>
        <v>0.028</v>
      </c>
      <c r="M135" s="13" t="n">
        <f aca="false">K135-L135</f>
        <v>0.380163265306122</v>
      </c>
      <c r="N135" s="23" t="n">
        <v>23</v>
      </c>
      <c r="O135" s="13" t="n">
        <f aca="false">SUMIFS($M$2:$M$1000,$C$2:$C$1000,"&lt;="&amp;C135)</f>
        <v>41.4977135051288</v>
      </c>
      <c r="P135" s="13" t="n">
        <f aca="false">O135-_xlfn.MAXIFS($O$2:$O$1000,$C$2:$C$1000,"&lt;="&amp;C135)</f>
        <v>0</v>
      </c>
      <c r="Q135" s="1"/>
      <c r="R135" s="1"/>
    </row>
    <row r="136" customFormat="false" ht="15" hidden="false" customHeight="false" outlineLevel="0" collapsed="false">
      <c r="A136" s="17" t="n">
        <v>251</v>
      </c>
      <c r="B136" s="17" t="s">
        <v>194</v>
      </c>
      <c r="C136" s="21" t="n">
        <v>46188.875</v>
      </c>
      <c r="D136" s="17" t="s">
        <v>61</v>
      </c>
      <c r="E136" s="18" t="n">
        <v>0.99</v>
      </c>
      <c r="F136" s="18" t="n">
        <v>0.99</v>
      </c>
      <c r="G136" s="22" t="n">
        <v>20.2020202020202</v>
      </c>
      <c r="H136" s="13" t="n">
        <f aca="false">G136*F136</f>
        <v>20</v>
      </c>
      <c r="I136" s="17" t="s">
        <v>61</v>
      </c>
      <c r="J136" s="5" t="n">
        <f aca="false">IF(D136=I136,1,0)</f>
        <v>1</v>
      </c>
      <c r="K136" s="13" t="n">
        <f aca="false">J136*G136-H136</f>
        <v>0.202020202020201</v>
      </c>
      <c r="L136" s="13" t="n">
        <f aca="false">G136*Summary!$C$5*F136*(1-F136)+G136*Summary!$C$6</f>
        <v>0.0139999999999999</v>
      </c>
      <c r="M136" s="13" t="n">
        <f aca="false">K136-L136</f>
        <v>0.188020202020201</v>
      </c>
      <c r="N136" s="23" t="n">
        <v>15.5</v>
      </c>
      <c r="O136" s="13" t="n">
        <f aca="false">SUMIFS($M$2:$M$1000,$C$2:$C$1000,"&lt;="&amp;C136)</f>
        <v>41.685733707149</v>
      </c>
      <c r="P136" s="13" t="n">
        <f aca="false">O136-_xlfn.MAXIFS($O$2:$O$1000,$C$2:$C$1000,"&lt;="&amp;C136)</f>
        <v>0</v>
      </c>
      <c r="Q136" s="1"/>
      <c r="R136" s="1"/>
    </row>
    <row r="137" customFormat="false" ht="15" hidden="false" customHeight="false" outlineLevel="0" collapsed="false">
      <c r="A137" s="17" t="n">
        <v>252</v>
      </c>
      <c r="B137" s="17" t="s">
        <v>195</v>
      </c>
      <c r="C137" s="21" t="n">
        <v>46188.8784722222</v>
      </c>
      <c r="D137" s="17" t="s">
        <v>61</v>
      </c>
      <c r="E137" s="18" t="n">
        <v>0.98</v>
      </c>
      <c r="F137" s="18" t="n">
        <v>0.98</v>
      </c>
      <c r="G137" s="22" t="n">
        <v>20.4081632653061</v>
      </c>
      <c r="H137" s="13" t="n">
        <f aca="false">G137*F137</f>
        <v>20</v>
      </c>
      <c r="I137" s="17" t="s">
        <v>61</v>
      </c>
      <c r="J137" s="5" t="n">
        <f aca="false">IF(D137=I137,1,0)</f>
        <v>1</v>
      </c>
      <c r="K137" s="13" t="n">
        <f aca="false">J137*G137-H137</f>
        <v>0.408163265306122</v>
      </c>
      <c r="L137" s="13" t="n">
        <f aca="false">G137*Summary!$C$5*F137*(1-F137)+G137*Summary!$C$6</f>
        <v>0.028</v>
      </c>
      <c r="M137" s="13" t="n">
        <f aca="false">K137-L137</f>
        <v>0.380163265306122</v>
      </c>
      <c r="N137" s="23" t="n">
        <v>12</v>
      </c>
      <c r="O137" s="13" t="n">
        <f aca="false">SUMIFS($M$2:$M$1000,$C$2:$C$1000,"&lt;="&amp;C137)</f>
        <v>42.0658969724552</v>
      </c>
      <c r="P137" s="13" t="n">
        <f aca="false">O137-_xlfn.MAXIFS($O$2:$O$1000,$C$2:$C$1000,"&lt;="&amp;C137)</f>
        <v>0</v>
      </c>
      <c r="Q137" s="1"/>
      <c r="R137" s="1"/>
    </row>
    <row r="138" customFormat="false" ht="15" hidden="false" customHeight="false" outlineLevel="0" collapsed="false">
      <c r="A138" s="17" t="n">
        <v>254</v>
      </c>
      <c r="B138" s="17" t="s">
        <v>196</v>
      </c>
      <c r="C138" s="21" t="n">
        <v>46188.8854166667</v>
      </c>
      <c r="D138" s="17" t="s">
        <v>59</v>
      </c>
      <c r="E138" s="18" t="n">
        <v>0.98</v>
      </c>
      <c r="F138" s="18" t="n">
        <v>0.98</v>
      </c>
      <c r="G138" s="22" t="n">
        <v>20.4081632653061</v>
      </c>
      <c r="H138" s="13" t="n">
        <f aca="false">G138*F138</f>
        <v>20</v>
      </c>
      <c r="I138" s="17" t="s">
        <v>59</v>
      </c>
      <c r="J138" s="5" t="n">
        <f aca="false">IF(D138=I138,1,0)</f>
        <v>1</v>
      </c>
      <c r="K138" s="13" t="n">
        <f aca="false">J138*G138-H138</f>
        <v>0.408163265306122</v>
      </c>
      <c r="L138" s="13" t="n">
        <f aca="false">G138*Summary!$C$5*F138*(1-F138)+G138*Summary!$C$6</f>
        <v>0.028</v>
      </c>
      <c r="M138" s="13" t="n">
        <f aca="false">K138-L138</f>
        <v>0.380163265306122</v>
      </c>
      <c r="N138" s="23" t="n">
        <v>25</v>
      </c>
      <c r="O138" s="13" t="n">
        <f aca="false">SUMIFS($M$2:$M$1000,$C$2:$C$1000,"&lt;="&amp;C138)</f>
        <v>42.4460602377613</v>
      </c>
      <c r="P138" s="13" t="n">
        <f aca="false">O138-_xlfn.MAXIFS($O$2:$O$1000,$C$2:$C$1000,"&lt;="&amp;C138)</f>
        <v>0</v>
      </c>
      <c r="Q138" s="1"/>
      <c r="R138" s="1"/>
    </row>
    <row r="139" customFormat="false" ht="15" hidden="false" customHeight="false" outlineLevel="0" collapsed="false">
      <c r="A139" s="17" t="n">
        <v>255</v>
      </c>
      <c r="B139" s="17" t="s">
        <v>197</v>
      </c>
      <c r="C139" s="21" t="n">
        <v>46188.8888888889</v>
      </c>
      <c r="D139" s="17" t="s">
        <v>59</v>
      </c>
      <c r="E139" s="18" t="n">
        <v>0.98</v>
      </c>
      <c r="F139" s="18" t="n">
        <v>0.98</v>
      </c>
      <c r="G139" s="22" t="n">
        <v>20.4081632653061</v>
      </c>
      <c r="H139" s="13" t="n">
        <f aca="false">G139*F139</f>
        <v>20</v>
      </c>
      <c r="I139" s="17" t="s">
        <v>59</v>
      </c>
      <c r="J139" s="5" t="n">
        <f aca="false">IF(D139=I139,1,0)</f>
        <v>1</v>
      </c>
      <c r="K139" s="13" t="n">
        <f aca="false">J139*G139-H139</f>
        <v>0.408163265306122</v>
      </c>
      <c r="L139" s="13" t="n">
        <f aca="false">G139*Summary!$C$5*F139*(1-F139)+G139*Summary!$C$6</f>
        <v>0.028</v>
      </c>
      <c r="M139" s="13" t="n">
        <f aca="false">K139-L139</f>
        <v>0.380163265306122</v>
      </c>
      <c r="N139" s="23" t="n">
        <v>8.5</v>
      </c>
      <c r="O139" s="13" t="n">
        <f aca="false">SUMIFS($M$2:$M$1000,$C$2:$C$1000,"&lt;="&amp;C139)</f>
        <v>42.8262235030674</v>
      </c>
      <c r="P139" s="13" t="n">
        <f aca="false">O139-_xlfn.MAXIFS($O$2:$O$1000,$C$2:$C$1000,"&lt;="&amp;C139)</f>
        <v>0</v>
      </c>
      <c r="Q139" s="1"/>
      <c r="R139" s="1"/>
    </row>
    <row r="140" customFormat="false" ht="15" hidden="false" customHeight="false" outlineLevel="0" collapsed="false">
      <c r="A140" s="17" t="n">
        <v>256</v>
      </c>
      <c r="B140" s="17" t="s">
        <v>198</v>
      </c>
      <c r="C140" s="21" t="n">
        <v>46188.8923611111</v>
      </c>
      <c r="D140" s="17" t="s">
        <v>59</v>
      </c>
      <c r="E140" s="18" t="n">
        <v>0.98</v>
      </c>
      <c r="F140" s="18" t="n">
        <v>0.98</v>
      </c>
      <c r="G140" s="22" t="n">
        <v>20.4081632653061</v>
      </c>
      <c r="H140" s="13" t="n">
        <f aca="false">G140*F140</f>
        <v>20</v>
      </c>
      <c r="I140" s="17" t="s">
        <v>59</v>
      </c>
      <c r="J140" s="5" t="n">
        <f aca="false">IF(D140=I140,1,0)</f>
        <v>1</v>
      </c>
      <c r="K140" s="13" t="n">
        <f aca="false">J140*G140-H140</f>
        <v>0.408163265306122</v>
      </c>
      <c r="L140" s="13" t="n">
        <f aca="false">G140*Summary!$C$5*F140*(1-F140)+G140*Summary!$C$6</f>
        <v>0.028</v>
      </c>
      <c r="M140" s="13" t="n">
        <f aca="false">K140-L140</f>
        <v>0.380163265306122</v>
      </c>
      <c r="N140" s="23" t="n">
        <v>30</v>
      </c>
      <c r="O140" s="13" t="n">
        <f aca="false">SUMIFS($M$2:$M$1000,$C$2:$C$1000,"&lt;="&amp;C140)</f>
        <v>43.2063867683735</v>
      </c>
      <c r="P140" s="13" t="n">
        <f aca="false">O140-_xlfn.MAXIFS($O$2:$O$1000,$C$2:$C$1000,"&lt;="&amp;C140)</f>
        <v>0</v>
      </c>
      <c r="Q140" s="1"/>
      <c r="R140" s="1"/>
    </row>
    <row r="141" customFormat="false" ht="15" hidden="false" customHeight="false" outlineLevel="0" collapsed="false">
      <c r="A141" s="17" t="n">
        <v>259</v>
      </c>
      <c r="B141" s="17" t="s">
        <v>199</v>
      </c>
      <c r="C141" s="21" t="n">
        <v>46188.9027777778</v>
      </c>
      <c r="D141" s="17" t="s">
        <v>61</v>
      </c>
      <c r="E141" s="18" t="n">
        <v>0.99</v>
      </c>
      <c r="F141" s="18" t="n">
        <v>0.99</v>
      </c>
      <c r="G141" s="22" t="n">
        <v>20.2020202020202</v>
      </c>
      <c r="H141" s="13" t="n">
        <f aca="false">G141*F141</f>
        <v>20</v>
      </c>
      <c r="I141" s="17" t="s">
        <v>61</v>
      </c>
      <c r="J141" s="5" t="n">
        <f aca="false">IF(D141=I141,1,0)</f>
        <v>1</v>
      </c>
      <c r="K141" s="13" t="n">
        <f aca="false">J141*G141-H141</f>
        <v>0.202020202020201</v>
      </c>
      <c r="L141" s="13" t="n">
        <f aca="false">G141*Summary!$C$5*F141*(1-F141)+G141*Summary!$C$6</f>
        <v>0.0139999999999999</v>
      </c>
      <c r="M141" s="13" t="n">
        <f aca="false">K141-L141</f>
        <v>0.188020202020201</v>
      </c>
      <c r="N141" s="23" t="n">
        <v>8</v>
      </c>
      <c r="O141" s="13" t="n">
        <f aca="false">SUMIFS($M$2:$M$1000,$C$2:$C$1000,"&lt;="&amp;C141)</f>
        <v>43.3944069703937</v>
      </c>
      <c r="P141" s="13" t="n">
        <f aca="false">O141-_xlfn.MAXIFS($O$2:$O$1000,$C$2:$C$1000,"&lt;="&amp;C141)</f>
        <v>0</v>
      </c>
      <c r="Q141" s="1"/>
      <c r="R141" s="1"/>
    </row>
    <row r="142" customFormat="false" ht="15" hidden="false" customHeight="false" outlineLevel="0" collapsed="false">
      <c r="A142" s="17" t="n">
        <v>260</v>
      </c>
      <c r="B142" s="17" t="s">
        <v>200</v>
      </c>
      <c r="C142" s="21" t="n">
        <v>46188.90625</v>
      </c>
      <c r="D142" s="17" t="s">
        <v>59</v>
      </c>
      <c r="E142" s="18" t="n">
        <v>0.98</v>
      </c>
      <c r="F142" s="18" t="n">
        <v>0.98</v>
      </c>
      <c r="G142" s="22" t="n">
        <v>20.4081632653061</v>
      </c>
      <c r="H142" s="13" t="n">
        <f aca="false">G142*F142</f>
        <v>20</v>
      </c>
      <c r="I142" s="17" t="s">
        <v>59</v>
      </c>
      <c r="J142" s="5" t="n">
        <f aca="false">IF(D142=I142,1,0)</f>
        <v>1</v>
      </c>
      <c r="K142" s="13" t="n">
        <f aca="false">J142*G142-H142</f>
        <v>0.408163265306122</v>
      </c>
      <c r="L142" s="13" t="n">
        <f aca="false">G142*Summary!$C$5*F142*(1-F142)+G142*Summary!$C$6</f>
        <v>0.028</v>
      </c>
      <c r="M142" s="13" t="n">
        <f aca="false">K142-L142</f>
        <v>0.380163265306122</v>
      </c>
      <c r="N142" s="23" t="n">
        <v>3.5</v>
      </c>
      <c r="O142" s="13" t="n">
        <f aca="false">SUMIFS($M$2:$M$1000,$C$2:$C$1000,"&lt;="&amp;C142)</f>
        <v>43.7745702356998</v>
      </c>
      <c r="P142" s="13" t="n">
        <f aca="false">O142-_xlfn.MAXIFS($O$2:$O$1000,$C$2:$C$1000,"&lt;="&amp;C142)</f>
        <v>0</v>
      </c>
      <c r="Q142" s="1"/>
      <c r="R142" s="1"/>
    </row>
    <row r="143" customFormat="false" ht="15" hidden="false" customHeight="false" outlineLevel="0" collapsed="false">
      <c r="A143" s="17" t="n">
        <v>262</v>
      </c>
      <c r="B143" s="17" t="s">
        <v>201</v>
      </c>
      <c r="C143" s="21" t="n">
        <v>46188.9131944445</v>
      </c>
      <c r="D143" s="17" t="s">
        <v>59</v>
      </c>
      <c r="E143" s="18" t="n">
        <v>0.98</v>
      </c>
      <c r="F143" s="18" t="n">
        <v>0.98</v>
      </c>
      <c r="G143" s="22" t="n">
        <v>20.4081632653061</v>
      </c>
      <c r="H143" s="13" t="n">
        <f aca="false">G143*F143</f>
        <v>20</v>
      </c>
      <c r="I143" s="17" t="s">
        <v>59</v>
      </c>
      <c r="J143" s="5" t="n">
        <f aca="false">IF(D143=I143,1,0)</f>
        <v>1</v>
      </c>
      <c r="K143" s="13" t="n">
        <f aca="false">J143*G143-H143</f>
        <v>0.408163265306122</v>
      </c>
      <c r="L143" s="13" t="n">
        <f aca="false">G143*Summary!$C$5*F143*(1-F143)+G143*Summary!$C$6</f>
        <v>0.028</v>
      </c>
      <c r="M143" s="13" t="n">
        <f aca="false">K143-L143</f>
        <v>0.380163265306122</v>
      </c>
      <c r="N143" s="23" t="n">
        <v>5.5</v>
      </c>
      <c r="O143" s="13" t="n">
        <f aca="false">SUMIFS($M$2:$M$1000,$C$2:$C$1000,"&lt;="&amp;C143)</f>
        <v>44.154733501006</v>
      </c>
      <c r="P143" s="13" t="n">
        <f aca="false">O143-_xlfn.MAXIFS($O$2:$O$1000,$C$2:$C$1000,"&lt;="&amp;C143)</f>
        <v>0</v>
      </c>
      <c r="Q143" s="1"/>
      <c r="R143" s="1"/>
    </row>
    <row r="144" customFormat="false" ht="15" hidden="false" customHeight="false" outlineLevel="0" collapsed="false">
      <c r="A144" s="17" t="n">
        <v>263</v>
      </c>
      <c r="B144" s="17" t="s">
        <v>202</v>
      </c>
      <c r="C144" s="21" t="n">
        <v>46188.9166666667</v>
      </c>
      <c r="D144" s="17" t="s">
        <v>61</v>
      </c>
      <c r="E144" s="18" t="n">
        <v>0.99</v>
      </c>
      <c r="F144" s="18" t="n">
        <v>0.99</v>
      </c>
      <c r="G144" s="22" t="n">
        <v>20.2020202020202</v>
      </c>
      <c r="H144" s="13" t="n">
        <f aca="false">G144*F144</f>
        <v>20</v>
      </c>
      <c r="I144" s="17" t="s">
        <v>61</v>
      </c>
      <c r="J144" s="5" t="n">
        <f aca="false">IF(D144=I144,1,0)</f>
        <v>1</v>
      </c>
      <c r="K144" s="13" t="n">
        <f aca="false">J144*G144-H144</f>
        <v>0.202020202020201</v>
      </c>
      <c r="L144" s="13" t="n">
        <f aca="false">G144*Summary!$C$5*F144*(1-F144)+G144*Summary!$C$6</f>
        <v>0.0139999999999999</v>
      </c>
      <c r="M144" s="13" t="n">
        <f aca="false">K144-L144</f>
        <v>0.188020202020201</v>
      </c>
      <c r="N144" s="23" t="n">
        <v>30</v>
      </c>
      <c r="O144" s="13" t="n">
        <f aca="false">SUMIFS($M$2:$M$1000,$C$2:$C$1000,"&lt;="&amp;C144)</f>
        <v>44.3427537030262</v>
      </c>
      <c r="P144" s="13" t="n">
        <f aca="false">O144-_xlfn.MAXIFS($O$2:$O$1000,$C$2:$C$1000,"&lt;="&amp;C144)</f>
        <v>0</v>
      </c>
      <c r="Q144" s="1"/>
      <c r="R144" s="1"/>
    </row>
    <row r="145" customFormat="false" ht="15" hidden="false" customHeight="false" outlineLevel="0" collapsed="false">
      <c r="A145" s="17" t="n">
        <v>265</v>
      </c>
      <c r="B145" s="17" t="s">
        <v>203</v>
      </c>
      <c r="C145" s="21" t="n">
        <v>46188.9236111111</v>
      </c>
      <c r="D145" s="17" t="s">
        <v>59</v>
      </c>
      <c r="E145" s="18" t="n">
        <v>0.98</v>
      </c>
      <c r="F145" s="18" t="n">
        <v>0.98</v>
      </c>
      <c r="G145" s="22" t="n">
        <v>20.4081632653061</v>
      </c>
      <c r="H145" s="13" t="n">
        <f aca="false">G145*F145</f>
        <v>20</v>
      </c>
      <c r="I145" s="17" t="s">
        <v>61</v>
      </c>
      <c r="J145" s="5" t="n">
        <f aca="false">IF(D145=I145,1,0)</f>
        <v>0</v>
      </c>
      <c r="K145" s="13" t="n">
        <f aca="false">J145*G145-H145</f>
        <v>-20</v>
      </c>
      <c r="L145" s="13" t="n">
        <f aca="false">G145*Summary!$C$5*F145*(1-F145)+G145*Summary!$C$6</f>
        <v>0.028</v>
      </c>
      <c r="M145" s="13" t="n">
        <f aca="false">K145-L145</f>
        <v>-20.028</v>
      </c>
      <c r="N145" s="23" t="n">
        <v>16</v>
      </c>
      <c r="O145" s="13" t="n">
        <f aca="false">SUMIFS($M$2:$M$1000,$C$2:$C$1000,"&lt;="&amp;C145)</f>
        <v>24.3147537030262</v>
      </c>
      <c r="P145" s="13" t="n">
        <f aca="false">O145-_xlfn.MAXIFS($O$2:$O$1000,$C$2:$C$1000,"&lt;="&amp;C145)</f>
        <v>-20.028</v>
      </c>
      <c r="Q145" s="1"/>
      <c r="R145" s="1"/>
    </row>
    <row r="146" customFormat="false" ht="15" hidden="false" customHeight="false" outlineLevel="0" collapsed="false">
      <c r="A146" s="17" t="n">
        <v>271</v>
      </c>
      <c r="B146" s="17" t="s">
        <v>204</v>
      </c>
      <c r="C146" s="21" t="n">
        <v>46188.9444444445</v>
      </c>
      <c r="D146" s="17" t="s">
        <v>59</v>
      </c>
      <c r="E146" s="18" t="n">
        <v>0.99</v>
      </c>
      <c r="F146" s="18" t="n">
        <v>0.99</v>
      </c>
      <c r="G146" s="22" t="n">
        <v>20.2020202020202</v>
      </c>
      <c r="H146" s="13" t="n">
        <f aca="false">G146*F146</f>
        <v>20</v>
      </c>
      <c r="I146" s="17" t="s">
        <v>59</v>
      </c>
      <c r="J146" s="5" t="n">
        <f aca="false">IF(D146=I146,1,0)</f>
        <v>1</v>
      </c>
      <c r="K146" s="13" t="n">
        <f aca="false">J146*G146-H146</f>
        <v>0.202020202020201</v>
      </c>
      <c r="L146" s="13" t="n">
        <f aca="false">G146*Summary!$C$5*F146*(1-F146)+G146*Summary!$C$6</f>
        <v>0.0139999999999999</v>
      </c>
      <c r="M146" s="13" t="n">
        <f aca="false">K146-L146</f>
        <v>0.188020202020201</v>
      </c>
      <c r="N146" s="23" t="n">
        <v>30</v>
      </c>
      <c r="O146" s="13" t="n">
        <f aca="false">SUMIFS($M$2:$M$1000,$C$2:$C$1000,"&lt;="&amp;C146)</f>
        <v>24.5027739050464</v>
      </c>
      <c r="P146" s="13" t="n">
        <f aca="false">O146-_xlfn.MAXIFS($O$2:$O$1000,$C$2:$C$1000,"&lt;="&amp;C146)</f>
        <v>-19.8399797979798</v>
      </c>
      <c r="Q146" s="1"/>
      <c r="R146" s="1"/>
    </row>
    <row r="147" customFormat="false" ht="15" hidden="false" customHeight="false" outlineLevel="0" collapsed="false">
      <c r="A147" s="17" t="n">
        <v>272</v>
      </c>
      <c r="B147" s="17" t="s">
        <v>205</v>
      </c>
      <c r="C147" s="21" t="n">
        <v>46188.9479166667</v>
      </c>
      <c r="D147" s="17" t="s">
        <v>61</v>
      </c>
      <c r="E147" s="18" t="n">
        <v>0.98</v>
      </c>
      <c r="F147" s="18" t="n">
        <v>0.98</v>
      </c>
      <c r="G147" s="22" t="n">
        <v>20.4081632653061</v>
      </c>
      <c r="H147" s="13" t="n">
        <f aca="false">G147*F147</f>
        <v>20</v>
      </c>
      <c r="I147" s="17" t="s">
        <v>61</v>
      </c>
      <c r="J147" s="5" t="n">
        <f aca="false">IF(D147=I147,1,0)</f>
        <v>1</v>
      </c>
      <c r="K147" s="13" t="n">
        <f aca="false">J147*G147-H147</f>
        <v>0.408163265306122</v>
      </c>
      <c r="L147" s="13" t="n">
        <f aca="false">G147*Summary!$C$5*F147*(1-F147)+G147*Summary!$C$6</f>
        <v>0.028</v>
      </c>
      <c r="M147" s="13" t="n">
        <f aca="false">K147-L147</f>
        <v>0.380163265306122</v>
      </c>
      <c r="N147" s="23" t="n">
        <v>25</v>
      </c>
      <c r="O147" s="13" t="n">
        <f aca="false">SUMIFS($M$2:$M$1000,$C$2:$C$1000,"&lt;="&amp;C147)</f>
        <v>24.8829371703525</v>
      </c>
      <c r="P147" s="13" t="n">
        <f aca="false">O147-_xlfn.MAXIFS($O$2:$O$1000,$C$2:$C$1000,"&lt;="&amp;C147)</f>
        <v>-19.4598165326737</v>
      </c>
      <c r="Q147" s="1"/>
      <c r="R147" s="1"/>
    </row>
    <row r="148" customFormat="false" ht="15" hidden="false" customHeight="false" outlineLevel="0" collapsed="false">
      <c r="A148" s="17" t="n">
        <v>274</v>
      </c>
      <c r="B148" s="17" t="s">
        <v>206</v>
      </c>
      <c r="C148" s="21" t="n">
        <v>46188.9548611111</v>
      </c>
      <c r="D148" s="17" t="s">
        <v>59</v>
      </c>
      <c r="E148" s="18" t="n">
        <v>0.99</v>
      </c>
      <c r="F148" s="18" t="n">
        <v>0.99</v>
      </c>
      <c r="G148" s="22" t="n">
        <v>20.2020202020202</v>
      </c>
      <c r="H148" s="13" t="n">
        <f aca="false">G148*F148</f>
        <v>20</v>
      </c>
      <c r="I148" s="17" t="s">
        <v>59</v>
      </c>
      <c r="J148" s="5" t="n">
        <f aca="false">IF(D148=I148,1,0)</f>
        <v>1</v>
      </c>
      <c r="K148" s="13" t="n">
        <f aca="false">J148*G148-H148</f>
        <v>0.202020202020201</v>
      </c>
      <c r="L148" s="13" t="n">
        <f aca="false">G148*Summary!$C$5*F148*(1-F148)+G148*Summary!$C$6</f>
        <v>0.0139999999999999</v>
      </c>
      <c r="M148" s="13" t="n">
        <f aca="false">K148-L148</f>
        <v>0.188020202020201</v>
      </c>
      <c r="N148" s="23" t="n">
        <v>3</v>
      </c>
      <c r="O148" s="13" t="n">
        <f aca="false">SUMIFS($M$2:$M$1000,$C$2:$C$1000,"&lt;="&amp;C148)</f>
        <v>25.0709573723727</v>
      </c>
      <c r="P148" s="13" t="n">
        <f aca="false">O148-_xlfn.MAXIFS($O$2:$O$1000,$C$2:$C$1000,"&lt;="&amp;C148)</f>
        <v>-19.2717963306535</v>
      </c>
      <c r="Q148" s="1"/>
      <c r="R148" s="1"/>
    </row>
    <row r="149" customFormat="false" ht="15" hidden="false" customHeight="false" outlineLevel="0" collapsed="false">
      <c r="A149" s="17" t="n">
        <v>275</v>
      </c>
      <c r="B149" s="17" t="s">
        <v>207</v>
      </c>
      <c r="C149" s="21" t="n">
        <v>46188.9583333333</v>
      </c>
      <c r="D149" s="17" t="s">
        <v>61</v>
      </c>
      <c r="E149" s="18" t="n">
        <v>0.98</v>
      </c>
      <c r="F149" s="18" t="n">
        <v>0.98</v>
      </c>
      <c r="G149" s="22" t="n">
        <v>20.4081632653061</v>
      </c>
      <c r="H149" s="13" t="n">
        <f aca="false">G149*F149</f>
        <v>20</v>
      </c>
      <c r="I149" s="17" t="s">
        <v>61</v>
      </c>
      <c r="J149" s="5" t="n">
        <f aca="false">IF(D149=I149,1,0)</f>
        <v>1</v>
      </c>
      <c r="K149" s="13" t="n">
        <f aca="false">J149*G149-H149</f>
        <v>0.408163265306122</v>
      </c>
      <c r="L149" s="13" t="n">
        <f aca="false">G149*Summary!$C$5*F149*(1-F149)+G149*Summary!$C$6</f>
        <v>0.028</v>
      </c>
      <c r="M149" s="13" t="n">
        <f aca="false">K149-L149</f>
        <v>0.380163265306122</v>
      </c>
      <c r="N149" s="23" t="n">
        <v>8.5</v>
      </c>
      <c r="O149" s="13" t="n">
        <f aca="false">SUMIFS($M$2:$M$1000,$C$2:$C$1000,"&lt;="&amp;C149)</f>
        <v>25.4511206376788</v>
      </c>
      <c r="P149" s="13" t="n">
        <f aca="false">O149-_xlfn.MAXIFS($O$2:$O$1000,$C$2:$C$1000,"&lt;="&amp;C149)</f>
        <v>-18.8916330653474</v>
      </c>
      <c r="Q149" s="1"/>
      <c r="R149" s="1"/>
    </row>
    <row r="150" customFormat="false" ht="15" hidden="false" customHeight="false" outlineLevel="0" collapsed="false">
      <c r="A150" s="17" t="n">
        <v>277</v>
      </c>
      <c r="B150" s="17" t="s">
        <v>208</v>
      </c>
      <c r="C150" s="21" t="n">
        <v>46188.9652777778</v>
      </c>
      <c r="D150" s="17" t="s">
        <v>59</v>
      </c>
      <c r="E150" s="18" t="n">
        <v>0.98</v>
      </c>
      <c r="F150" s="18" t="n">
        <v>0.98</v>
      </c>
      <c r="G150" s="22" t="n">
        <v>20.4081632653061</v>
      </c>
      <c r="H150" s="13" t="n">
        <f aca="false">G150*F150</f>
        <v>20</v>
      </c>
      <c r="I150" s="17" t="s">
        <v>59</v>
      </c>
      <c r="J150" s="5" t="n">
        <f aca="false">IF(D150=I150,1,0)</f>
        <v>1</v>
      </c>
      <c r="K150" s="13" t="n">
        <f aca="false">J150*G150-H150</f>
        <v>0.408163265306122</v>
      </c>
      <c r="L150" s="13" t="n">
        <f aca="false">G150*Summary!$C$5*F150*(1-F150)+G150*Summary!$C$6</f>
        <v>0.028</v>
      </c>
      <c r="M150" s="13" t="n">
        <f aca="false">K150-L150</f>
        <v>0.380163265306122</v>
      </c>
      <c r="N150" s="23" t="n">
        <v>18.5</v>
      </c>
      <c r="O150" s="13" t="n">
        <f aca="false">SUMIFS($M$2:$M$1000,$C$2:$C$1000,"&lt;="&amp;C150)</f>
        <v>25.8312839029849</v>
      </c>
      <c r="P150" s="13" t="n">
        <f aca="false">O150-_xlfn.MAXIFS($O$2:$O$1000,$C$2:$C$1000,"&lt;="&amp;C150)</f>
        <v>-18.5114698000412</v>
      </c>
      <c r="Q150" s="1"/>
      <c r="R150" s="1"/>
    </row>
    <row r="151" customFormat="false" ht="15" hidden="false" customHeight="false" outlineLevel="0" collapsed="false">
      <c r="A151" s="17" t="n">
        <v>278</v>
      </c>
      <c r="B151" s="17" t="s">
        <v>209</v>
      </c>
      <c r="C151" s="21" t="n">
        <v>46188.96875</v>
      </c>
      <c r="D151" s="17" t="s">
        <v>59</v>
      </c>
      <c r="E151" s="18" t="n">
        <v>0.98</v>
      </c>
      <c r="F151" s="18" t="n">
        <v>0.98</v>
      </c>
      <c r="G151" s="22" t="n">
        <v>20.4081632653061</v>
      </c>
      <c r="H151" s="13" t="n">
        <f aca="false">G151*F151</f>
        <v>20</v>
      </c>
      <c r="I151" s="17" t="s">
        <v>59</v>
      </c>
      <c r="J151" s="5" t="n">
        <f aca="false">IF(D151=I151,1,0)</f>
        <v>1</v>
      </c>
      <c r="K151" s="13" t="n">
        <f aca="false">J151*G151-H151</f>
        <v>0.408163265306122</v>
      </c>
      <c r="L151" s="13" t="n">
        <f aca="false">G151*Summary!$C$5*F151*(1-F151)+G151*Summary!$C$6</f>
        <v>0.028</v>
      </c>
      <c r="M151" s="13" t="n">
        <f aca="false">K151-L151</f>
        <v>0.380163265306122</v>
      </c>
      <c r="N151" s="23" t="n">
        <v>19</v>
      </c>
      <c r="O151" s="13" t="n">
        <f aca="false">SUMIFS($M$2:$M$1000,$C$2:$C$1000,"&lt;="&amp;C151)</f>
        <v>26.2114471682911</v>
      </c>
      <c r="P151" s="13" t="n">
        <f aca="false">O151-_xlfn.MAXIFS($O$2:$O$1000,$C$2:$C$1000,"&lt;="&amp;C151)</f>
        <v>-18.1313065347351</v>
      </c>
      <c r="Q151" s="1"/>
      <c r="R151" s="1"/>
    </row>
    <row r="152" customFormat="false" ht="15" hidden="false" customHeight="false" outlineLevel="0" collapsed="false">
      <c r="A152" s="17" t="n">
        <v>280</v>
      </c>
      <c r="B152" s="17" t="s">
        <v>210</v>
      </c>
      <c r="C152" s="21" t="n">
        <v>46188.9756944445</v>
      </c>
      <c r="D152" s="17" t="s">
        <v>61</v>
      </c>
      <c r="E152" s="18" t="n">
        <v>0.98</v>
      </c>
      <c r="F152" s="18" t="n">
        <v>0.98</v>
      </c>
      <c r="G152" s="22" t="n">
        <v>20.4081632653061</v>
      </c>
      <c r="H152" s="13" t="n">
        <f aca="false">G152*F152</f>
        <v>20</v>
      </c>
      <c r="I152" s="17" t="s">
        <v>61</v>
      </c>
      <c r="J152" s="5" t="n">
        <f aca="false">IF(D152=I152,1,0)</f>
        <v>1</v>
      </c>
      <c r="K152" s="13" t="n">
        <f aca="false">J152*G152-H152</f>
        <v>0.408163265306122</v>
      </c>
      <c r="L152" s="13" t="n">
        <f aca="false">G152*Summary!$C$5*F152*(1-F152)+G152*Summary!$C$6</f>
        <v>0.028</v>
      </c>
      <c r="M152" s="13" t="n">
        <f aca="false">K152-L152</f>
        <v>0.380163265306122</v>
      </c>
      <c r="N152" s="23" t="n">
        <v>28</v>
      </c>
      <c r="O152" s="13" t="n">
        <f aca="false">SUMIFS($M$2:$M$1000,$C$2:$C$1000,"&lt;="&amp;C152)</f>
        <v>26.5916104335972</v>
      </c>
      <c r="P152" s="13" t="n">
        <f aca="false">O152-_xlfn.MAXIFS($O$2:$O$1000,$C$2:$C$1000,"&lt;="&amp;C152)</f>
        <v>-17.751143269429</v>
      </c>
      <c r="Q152" s="1"/>
      <c r="R152" s="1"/>
    </row>
    <row r="153" customFormat="false" ht="15" hidden="false" customHeight="false" outlineLevel="0" collapsed="false">
      <c r="A153" s="17" t="n">
        <v>282</v>
      </c>
      <c r="B153" s="17" t="s">
        <v>211</v>
      </c>
      <c r="C153" s="21" t="n">
        <v>46188.9826388889</v>
      </c>
      <c r="D153" s="17" t="s">
        <v>61</v>
      </c>
      <c r="E153" s="18" t="n">
        <v>0.98</v>
      </c>
      <c r="F153" s="18" t="n">
        <v>0.98</v>
      </c>
      <c r="G153" s="22" t="n">
        <v>20.4081632653061</v>
      </c>
      <c r="H153" s="13" t="n">
        <f aca="false">G153*F153</f>
        <v>20</v>
      </c>
      <c r="I153" s="17" t="s">
        <v>61</v>
      </c>
      <c r="J153" s="5" t="n">
        <f aca="false">IF(D153=I153,1,0)</f>
        <v>1</v>
      </c>
      <c r="K153" s="13" t="n">
        <f aca="false">J153*G153-H153</f>
        <v>0.408163265306122</v>
      </c>
      <c r="L153" s="13" t="n">
        <f aca="false">G153*Summary!$C$5*F153*(1-F153)+G153*Summary!$C$6</f>
        <v>0.028</v>
      </c>
      <c r="M153" s="13" t="n">
        <f aca="false">K153-L153</f>
        <v>0.380163265306122</v>
      </c>
      <c r="N153" s="23" t="n">
        <v>16</v>
      </c>
      <c r="O153" s="13" t="n">
        <f aca="false">SUMIFS($M$2:$M$1000,$C$2:$C$1000,"&lt;="&amp;C153)</f>
        <v>26.9717736989033</v>
      </c>
      <c r="P153" s="13" t="n">
        <f aca="false">O153-_xlfn.MAXIFS($O$2:$O$1000,$C$2:$C$1000,"&lt;="&amp;C153)</f>
        <v>-17.3709800041229</v>
      </c>
      <c r="Q153" s="1"/>
      <c r="R153" s="1"/>
    </row>
    <row r="154" customFormat="false" ht="15" hidden="false" customHeight="false" outlineLevel="0" collapsed="false">
      <c r="A154" s="17" t="n">
        <v>284</v>
      </c>
      <c r="B154" s="17" t="s">
        <v>212</v>
      </c>
      <c r="C154" s="21" t="n">
        <v>46188.9895833333</v>
      </c>
      <c r="D154" s="17" t="s">
        <v>59</v>
      </c>
      <c r="E154" s="18" t="n">
        <v>0.99</v>
      </c>
      <c r="F154" s="18" t="n">
        <v>0.99</v>
      </c>
      <c r="G154" s="22" t="n">
        <v>20.2020202020202</v>
      </c>
      <c r="H154" s="13" t="n">
        <f aca="false">G154*F154</f>
        <v>20</v>
      </c>
      <c r="I154" s="17" t="s">
        <v>59</v>
      </c>
      <c r="J154" s="5" t="n">
        <f aca="false">IF(D154=I154,1,0)</f>
        <v>1</v>
      </c>
      <c r="K154" s="13" t="n">
        <f aca="false">J154*G154-H154</f>
        <v>0.202020202020201</v>
      </c>
      <c r="L154" s="13" t="n">
        <f aca="false">G154*Summary!$C$5*F154*(1-F154)+G154*Summary!$C$6</f>
        <v>0.0139999999999999</v>
      </c>
      <c r="M154" s="13" t="n">
        <f aca="false">K154-L154</f>
        <v>0.188020202020201</v>
      </c>
      <c r="N154" s="23" t="n">
        <v>27</v>
      </c>
      <c r="O154" s="13" t="n">
        <f aca="false">SUMIFS($M$2:$M$1000,$C$2:$C$1000,"&lt;="&amp;C154)</f>
        <v>27.1597939009235</v>
      </c>
      <c r="P154" s="13" t="n">
        <f aca="false">O154-_xlfn.MAXIFS($O$2:$O$1000,$C$2:$C$1000,"&lt;="&amp;C154)</f>
        <v>-17.1829598021027</v>
      </c>
      <c r="Q154" s="1"/>
      <c r="R154" s="1"/>
    </row>
    <row r="155" customFormat="false" ht="15" hidden="false" customHeight="false" outlineLevel="0" collapsed="false">
      <c r="A155" s="17" t="n">
        <v>285</v>
      </c>
      <c r="B155" s="17" t="s">
        <v>213</v>
      </c>
      <c r="C155" s="21" t="n">
        <v>46188.9930555556</v>
      </c>
      <c r="D155" s="17" t="s">
        <v>59</v>
      </c>
      <c r="E155" s="18" t="n">
        <v>0.98</v>
      </c>
      <c r="F155" s="18" t="n">
        <v>0.98</v>
      </c>
      <c r="G155" s="22" t="n">
        <v>20.4081632653061</v>
      </c>
      <c r="H155" s="13" t="n">
        <f aca="false">G155*F155</f>
        <v>20</v>
      </c>
      <c r="I155" s="17" t="s">
        <v>59</v>
      </c>
      <c r="J155" s="5" t="n">
        <f aca="false">IF(D155=I155,1,0)</f>
        <v>1</v>
      </c>
      <c r="K155" s="13" t="n">
        <f aca="false">J155*G155-H155</f>
        <v>0.408163265306122</v>
      </c>
      <c r="L155" s="13" t="n">
        <f aca="false">G155*Summary!$C$5*F155*(1-F155)+G155*Summary!$C$6</f>
        <v>0.028</v>
      </c>
      <c r="M155" s="13" t="n">
        <f aca="false">K155-L155</f>
        <v>0.380163265306122</v>
      </c>
      <c r="N155" s="23" t="n">
        <v>5.5</v>
      </c>
      <c r="O155" s="13" t="n">
        <f aca="false">SUMIFS($M$2:$M$1000,$C$2:$C$1000,"&lt;="&amp;C155)</f>
        <v>27.5399571662296</v>
      </c>
      <c r="P155" s="13" t="n">
        <f aca="false">O155-_xlfn.MAXIFS($O$2:$O$1000,$C$2:$C$1000,"&lt;="&amp;C155)</f>
        <v>-16.8027965367965</v>
      </c>
      <c r="Q155" s="1"/>
      <c r="R155" s="1"/>
    </row>
    <row r="156" customFormat="false" ht="15" hidden="false" customHeight="false" outlineLevel="0" collapsed="false">
      <c r="A156" s="17" t="n">
        <v>287</v>
      </c>
      <c r="B156" s="17" t="s">
        <v>214</v>
      </c>
      <c r="C156" s="21" t="n">
        <v>46189</v>
      </c>
      <c r="D156" s="17" t="s">
        <v>61</v>
      </c>
      <c r="E156" s="18" t="n">
        <v>0.98</v>
      </c>
      <c r="F156" s="18" t="n">
        <v>0.98</v>
      </c>
      <c r="G156" s="22" t="n">
        <v>20.4081632653061</v>
      </c>
      <c r="H156" s="13" t="n">
        <f aca="false">G156*F156</f>
        <v>20</v>
      </c>
      <c r="I156" s="17" t="s">
        <v>61</v>
      </c>
      <c r="J156" s="5" t="n">
        <f aca="false">IF(D156=I156,1,0)</f>
        <v>1</v>
      </c>
      <c r="K156" s="13" t="n">
        <f aca="false">J156*G156-H156</f>
        <v>0.408163265306122</v>
      </c>
      <c r="L156" s="13" t="n">
        <f aca="false">G156*Summary!$C$5*F156*(1-F156)+G156*Summary!$C$6</f>
        <v>0.028</v>
      </c>
      <c r="M156" s="13" t="n">
        <f aca="false">K156-L156</f>
        <v>0.380163265306122</v>
      </c>
      <c r="N156" s="23" t="n">
        <v>10</v>
      </c>
      <c r="O156" s="13" t="n">
        <f aca="false">SUMIFS($M$2:$M$1000,$C$2:$C$1000,"&lt;="&amp;C156)</f>
        <v>27.9201204315357</v>
      </c>
      <c r="P156" s="13" t="n">
        <f aca="false">O156-_xlfn.MAXIFS($O$2:$O$1000,$C$2:$C$1000,"&lt;="&amp;C156)</f>
        <v>-16.4226332714904</v>
      </c>
      <c r="Q156" s="1"/>
      <c r="R156" s="1"/>
    </row>
  </sheetData>
  <autoFilter ref="A1:P1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3"/>
  </cols>
  <sheetData>
    <row r="1" customFormat="false" ht="15" hidden="false" customHeight="false" outlineLevel="0" collapsed="false">
      <c r="A1" s="24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6.85" hidden="false" customHeight="false" outlineLevel="0" collapsed="false">
      <c r="A3" s="25" t="s">
        <v>35</v>
      </c>
      <c r="B3" s="25" t="s">
        <v>8</v>
      </c>
      <c r="C3" s="25" t="s">
        <v>10</v>
      </c>
      <c r="D3" s="25" t="s">
        <v>11</v>
      </c>
      <c r="E3" s="25" t="s">
        <v>12</v>
      </c>
      <c r="F3" s="25" t="s">
        <v>48</v>
      </c>
      <c r="G3" s="25" t="s">
        <v>216</v>
      </c>
      <c r="H3" s="25" t="s">
        <v>217</v>
      </c>
      <c r="I3" s="25" t="s">
        <v>218</v>
      </c>
      <c r="J3" s="25" t="s">
        <v>219</v>
      </c>
    </row>
    <row r="4" customFormat="false" ht="15" hidden="false" customHeight="false" outlineLevel="0" collapsed="false">
      <c r="A4" s="17" t="s">
        <v>220</v>
      </c>
      <c r="B4" s="17" t="n">
        <v>155</v>
      </c>
      <c r="C4" s="17" t="n">
        <v>154</v>
      </c>
      <c r="D4" s="17" t="n">
        <v>1</v>
      </c>
      <c r="E4" s="11" t="n">
        <f aca="false">IF(B4=0,0,C4/B4)</f>
        <v>0.993548387096774</v>
      </c>
      <c r="F4" s="26" t="n">
        <v>0.9834</v>
      </c>
      <c r="G4" s="27" t="n">
        <v>3052</v>
      </c>
      <c r="H4" s="28" t="n">
        <v>31.49</v>
      </c>
      <c r="I4" s="13" t="n">
        <f aca="false">IF(B4=0,0,H4/B4)</f>
        <v>0.203161290322581</v>
      </c>
      <c r="J4" s="11" t="n">
        <f aca="false">IF(G4=0,0,H4/G4)</f>
        <v>0.0103178243774574</v>
      </c>
    </row>
    <row r="5" customFormat="false" ht="15" hidden="false" customHeight="false" outlineLevel="0" collapsed="false">
      <c r="A5" s="17" t="s">
        <v>221</v>
      </c>
      <c r="B5" s="17" t="n">
        <v>154</v>
      </c>
      <c r="C5" s="17" t="n">
        <v>153</v>
      </c>
      <c r="D5" s="17" t="n">
        <v>1</v>
      </c>
      <c r="E5" s="11" t="n">
        <f aca="false">IF(B5=0,0,C5/B5)</f>
        <v>0.993506493506494</v>
      </c>
      <c r="F5" s="26" t="n">
        <v>0.9828</v>
      </c>
      <c r="G5" s="27" t="n">
        <v>3028</v>
      </c>
      <c r="H5" s="28" t="n">
        <v>32.93</v>
      </c>
      <c r="I5" s="13" t="n">
        <f aca="false">IF(B5=0,0,H5/B5)</f>
        <v>0.213831168831169</v>
      </c>
      <c r="J5" s="11" t="n">
        <f aca="false">IF(G5=0,0,H5/G5)</f>
        <v>0.0108751651254954</v>
      </c>
    </row>
    <row r="6" customFormat="false" ht="15" hidden="false" customHeight="false" outlineLevel="0" collapsed="false">
      <c r="A6" s="17" t="s">
        <v>222</v>
      </c>
      <c r="B6" s="17" t="n">
        <v>152</v>
      </c>
      <c r="C6" s="17" t="n">
        <v>151</v>
      </c>
      <c r="D6" s="17" t="n">
        <v>1</v>
      </c>
      <c r="E6" s="11" t="n">
        <f aca="false">IF(B6=0,0,C6/B6)</f>
        <v>0.993421052631579</v>
      </c>
      <c r="F6" s="26" t="n">
        <v>0.9827</v>
      </c>
      <c r="G6" s="27" t="n">
        <v>2988</v>
      </c>
      <c r="H6" s="28" t="n">
        <v>32.82</v>
      </c>
      <c r="I6" s="13" t="n">
        <f aca="false">IF(B6=0,0,H6/B6)</f>
        <v>0.215921052631579</v>
      </c>
      <c r="J6" s="11" t="n">
        <f aca="false">IF(G6=0,0,H6/G6)</f>
        <v>0.0109839357429719</v>
      </c>
    </row>
    <row r="7" customFormat="false" ht="15" hidden="false" customHeight="false" outlineLevel="0" collapsed="false">
      <c r="A7" s="17" t="s">
        <v>223</v>
      </c>
      <c r="B7" s="17" t="n">
        <v>144</v>
      </c>
      <c r="C7" s="17" t="n">
        <v>143</v>
      </c>
      <c r="D7" s="17" t="n">
        <v>1</v>
      </c>
      <c r="E7" s="11" t="n">
        <f aca="false">IF(B7=0,0,C7/B7)</f>
        <v>0.993055555555556</v>
      </c>
      <c r="F7" s="26" t="n">
        <v>0.9823</v>
      </c>
      <c r="G7" s="27" t="n">
        <v>2844</v>
      </c>
      <c r="H7" s="28" t="n">
        <v>31.37</v>
      </c>
      <c r="I7" s="13" t="n">
        <f aca="false">IF(B7=0,0,H7/B7)</f>
        <v>0.217847222222222</v>
      </c>
      <c r="J7" s="11" t="n">
        <f aca="false">IF(G7=0,0,H7/G7)</f>
        <v>0.0110302390998594</v>
      </c>
    </row>
    <row r="8" customFormat="false" ht="15" hidden="false" customHeight="false" outlineLevel="0" collapsed="false">
      <c r="A8" s="17" t="s">
        <v>224</v>
      </c>
      <c r="B8" s="17" t="n">
        <v>133</v>
      </c>
      <c r="C8" s="17" t="n">
        <v>132</v>
      </c>
      <c r="D8" s="17" t="n">
        <v>1</v>
      </c>
      <c r="E8" s="11" t="n">
        <f aca="false">IF(B8=0,0,C8/B8)</f>
        <v>0.992481203007519</v>
      </c>
      <c r="F8" s="26" t="n">
        <v>0.9814</v>
      </c>
      <c r="G8" s="27" t="n">
        <v>2607</v>
      </c>
      <c r="H8" s="28" t="n">
        <v>30.6</v>
      </c>
      <c r="I8" s="13" t="n">
        <f aca="false">IF(B8=0,0,H8/B8)</f>
        <v>0.230075187969925</v>
      </c>
      <c r="J8" s="11" t="n">
        <f aca="false">IF(G8=0,0,H8/G8)</f>
        <v>0.0117376294591484</v>
      </c>
    </row>
    <row r="9" customFormat="false" ht="15" hidden="false" customHeight="false" outlineLevel="0" collapsed="false">
      <c r="A9" s="17" t="s">
        <v>225</v>
      </c>
      <c r="B9" s="17" t="n">
        <v>149</v>
      </c>
      <c r="C9" s="17" t="n">
        <v>148</v>
      </c>
      <c r="D9" s="17" t="n">
        <v>1</v>
      </c>
      <c r="E9" s="11" t="n">
        <f aca="false">IF(B9=0,0,C9/B9)</f>
        <v>0.993288590604027</v>
      </c>
      <c r="F9" s="26" t="n">
        <v>0.9828</v>
      </c>
      <c r="G9" s="27" t="n">
        <v>2944</v>
      </c>
      <c r="H9" s="28" t="n">
        <v>31.47</v>
      </c>
      <c r="I9" s="13" t="n">
        <f aca="false">IF(B9=0,0,H9/B9)</f>
        <v>0.211208053691275</v>
      </c>
      <c r="J9" s="11" t="n">
        <f aca="false">IF(G9=0,0,H9/G9)</f>
        <v>0.0106895380434783</v>
      </c>
    </row>
    <row r="10" customFormat="false" ht="15" hidden="false" customHeight="false" outlineLevel="0" collapsed="false">
      <c r="A10" s="17" t="s">
        <v>226</v>
      </c>
      <c r="B10" s="17" t="n">
        <v>128</v>
      </c>
      <c r="C10" s="17" t="n">
        <v>127</v>
      </c>
      <c r="D10" s="17" t="n">
        <v>1</v>
      </c>
      <c r="E10" s="11" t="n">
        <f aca="false">IF(B10=0,0,C10/B10)</f>
        <v>0.9921875</v>
      </c>
      <c r="F10" s="26" t="n">
        <v>0.9833</v>
      </c>
      <c r="G10" s="27" t="n">
        <v>2528</v>
      </c>
      <c r="H10" s="28" t="n">
        <v>22.36</v>
      </c>
      <c r="I10" s="13" t="n">
        <f aca="false">IF(B10=0,0,H10/B10)</f>
        <v>0.1746875</v>
      </c>
      <c r="J10" s="11" t="n">
        <f aca="false">IF(G10=0,0,H10/G10)</f>
        <v>0.00884493670886076</v>
      </c>
    </row>
    <row r="11" customFormat="false" ht="15" hidden="false" customHeight="false" outlineLevel="0" collapsed="false">
      <c r="A11" s="17" t="s">
        <v>227</v>
      </c>
      <c r="B11" s="17" t="n">
        <v>89</v>
      </c>
      <c r="C11" s="17" t="n">
        <v>88</v>
      </c>
      <c r="D11" s="17" t="n">
        <v>1</v>
      </c>
      <c r="E11" s="11" t="n">
        <f aca="false">IF(B11=0,0,C11/B11)</f>
        <v>0.98876404494382</v>
      </c>
      <c r="F11" s="26" t="n">
        <v>0.9849</v>
      </c>
      <c r="G11" s="27" t="n">
        <v>1748</v>
      </c>
      <c r="H11" s="28" t="n">
        <v>6.41</v>
      </c>
      <c r="I11" s="13" t="n">
        <f aca="false">IF(B11=0,0,H11/B11)</f>
        <v>0.0720224719101124</v>
      </c>
      <c r="J11" s="11" t="n">
        <f aca="false">IF(G11=0,0,H11/G11)</f>
        <v>0.00366704805491991</v>
      </c>
    </row>
    <row r="12" customFormat="false" ht="15" hidden="false" customHeight="false" outlineLevel="0" collapsed="false">
      <c r="A12" s="17" t="s">
        <v>228</v>
      </c>
      <c r="B12" s="17" t="n">
        <v>163</v>
      </c>
      <c r="C12" s="17" t="n">
        <v>160</v>
      </c>
      <c r="D12" s="17" t="n">
        <v>3</v>
      </c>
      <c r="E12" s="11" t="n">
        <f aca="false">IF(B12=0,0,C12/B12)</f>
        <v>0.98159509202454</v>
      </c>
      <c r="F12" s="26" t="n">
        <v>0.9778</v>
      </c>
      <c r="G12" s="27" t="n">
        <v>3210</v>
      </c>
      <c r="H12" s="28" t="n">
        <v>11.63</v>
      </c>
      <c r="I12" s="13" t="n">
        <f aca="false">IF(B12=0,0,H12/B12)</f>
        <v>0.0713496932515337</v>
      </c>
      <c r="J12" s="11" t="n">
        <f aca="false">IF(G12=0,0,H12/G12)</f>
        <v>0.00362305295950156</v>
      </c>
    </row>
    <row r="13" customFormat="false" ht="15" hidden="false" customHeight="false" outlineLevel="0" collapsed="false">
      <c r="A13" s="17" t="s">
        <v>229</v>
      </c>
      <c r="B13" s="17" t="n">
        <v>173</v>
      </c>
      <c r="C13" s="17" t="n">
        <v>167</v>
      </c>
      <c r="D13" s="17" t="n">
        <v>6</v>
      </c>
      <c r="E13" s="11" t="n">
        <f aca="false">IF(B13=0,0,C13/B13)</f>
        <v>0.965317919075145</v>
      </c>
      <c r="F13" s="26" t="n">
        <v>0.9663</v>
      </c>
      <c r="G13" s="27" t="n">
        <v>3365</v>
      </c>
      <c r="H13" s="28" t="n">
        <v>-6.69</v>
      </c>
      <c r="I13" s="13" t="n">
        <f aca="false">IF(B13=0,0,H13/B13)</f>
        <v>-0.0386705202312139</v>
      </c>
      <c r="J13" s="11" t="n">
        <f aca="false">IF(G13=0,0,H13/G13)</f>
        <v>-0.00198811292719168</v>
      </c>
    </row>
    <row r="14" customFormat="false" ht="15" hidden="false" customHeight="false" outlineLevel="0" collapsed="false">
      <c r="A14" s="17" t="s">
        <v>230</v>
      </c>
      <c r="B14" s="17" t="n">
        <v>146</v>
      </c>
      <c r="C14" s="17" t="n">
        <v>145</v>
      </c>
      <c r="D14" s="17" t="n">
        <v>1</v>
      </c>
      <c r="E14" s="11" t="n">
        <f aca="false">IF(B14=0,0,C14/B14)</f>
        <v>0.993150684931507</v>
      </c>
      <c r="F14" s="26" t="n">
        <v>0.99</v>
      </c>
      <c r="G14" s="27" t="n">
        <v>2889</v>
      </c>
      <c r="H14" s="28" t="n">
        <v>8.98</v>
      </c>
      <c r="I14" s="13" t="n">
        <f aca="false">IF(B14=0,0,H14/B14)</f>
        <v>0.0615068493150685</v>
      </c>
      <c r="J14" s="11" t="n">
        <f aca="false">IF(G14=0,0,H14/G14)</f>
        <v>0.00310834198684666</v>
      </c>
    </row>
    <row r="15" customFormat="false" ht="15" hidden="false" customHeight="false" outlineLevel="0" collapsed="false">
      <c r="A15" s="17" t="s">
        <v>231</v>
      </c>
      <c r="B15" s="17" t="n">
        <v>155</v>
      </c>
      <c r="C15" s="17" t="n">
        <v>154</v>
      </c>
      <c r="D15" s="17" t="n">
        <v>1</v>
      </c>
      <c r="E15" s="11" t="n">
        <f aca="false">IF(B15=0,0,C15/B15)</f>
        <v>0.993548387096774</v>
      </c>
      <c r="F15" s="26" t="n">
        <v>0.9836</v>
      </c>
      <c r="G15" s="27" t="n">
        <v>14980</v>
      </c>
      <c r="H15" s="28" t="n">
        <v>151.19</v>
      </c>
      <c r="I15" s="13" t="n">
        <f aca="false">IF(B15=0,0,H15/B15)</f>
        <v>0.97541935483871</v>
      </c>
      <c r="J15" s="11" t="n">
        <f aca="false">IF(G15=0,0,H15/G15)</f>
        <v>0.0100927903871829</v>
      </c>
    </row>
    <row r="16" customFormat="false" ht="15" hidden="false" customHeight="false" outlineLevel="0" collapsed="false">
      <c r="A16" s="17" t="s">
        <v>232</v>
      </c>
      <c r="B16" s="17" t="n">
        <v>155</v>
      </c>
      <c r="C16" s="17" t="n">
        <v>154</v>
      </c>
      <c r="D16" s="17" t="n">
        <v>1</v>
      </c>
      <c r="E16" s="11" t="n">
        <f aca="false">IF(B16=0,0,C16/B16)</f>
        <v>0.993548387096774</v>
      </c>
      <c r="F16" s="26" t="n">
        <v>0.9845</v>
      </c>
      <c r="G16" s="27" t="n">
        <v>73346</v>
      </c>
      <c r="H16" s="28" t="n">
        <v>661.75</v>
      </c>
      <c r="I16" s="13" t="n">
        <f aca="false">IF(B16=0,0,H16/B16)</f>
        <v>4.26935483870968</v>
      </c>
      <c r="J16" s="11" t="n">
        <f aca="false">IF(G16=0,0,H16/G16)</f>
        <v>0.00902230523818613</v>
      </c>
    </row>
    <row r="17" customFormat="false" ht="15" hidden="false" customHeight="false" outlineLevel="0" collapsed="false">
      <c r="A17" s="17" t="s">
        <v>233</v>
      </c>
      <c r="B17" s="17" t="n">
        <v>168</v>
      </c>
      <c r="C17" s="17" t="n">
        <v>167</v>
      </c>
      <c r="D17" s="17" t="n">
        <v>1</v>
      </c>
      <c r="E17" s="11" t="n">
        <f aca="false">IF(B17=0,0,C17/B17)</f>
        <v>0.994047619047619</v>
      </c>
      <c r="F17" s="26" t="n">
        <v>0.9834</v>
      </c>
      <c r="G17" s="27" t="n">
        <v>3312</v>
      </c>
      <c r="H17" s="28" t="n">
        <v>35.64</v>
      </c>
      <c r="I17" s="13" t="n">
        <f aca="false">IF(B17=0,0,H17/B17)</f>
        <v>0.212142857142857</v>
      </c>
      <c r="J17" s="11" t="n">
        <f aca="false">IF(G17=0,0,H17/G17)</f>
        <v>0.0107608695652174</v>
      </c>
    </row>
    <row r="18" customFormat="false" ht="15" hidden="false" customHeight="false" outlineLevel="0" collapsed="false">
      <c r="A18" s="17" t="s">
        <v>234</v>
      </c>
      <c r="B18" s="17" t="n">
        <v>153</v>
      </c>
      <c r="C18" s="17" t="n">
        <v>152</v>
      </c>
      <c r="D18" s="17" t="n">
        <v>1</v>
      </c>
      <c r="E18" s="11" t="n">
        <f aca="false">IF(B18=0,0,C18/B18)</f>
        <v>0.993464052287582</v>
      </c>
      <c r="F18" s="26" t="n">
        <v>0.9838</v>
      </c>
      <c r="G18" s="27" t="n">
        <v>3008</v>
      </c>
      <c r="H18" s="28" t="n">
        <v>29.48</v>
      </c>
      <c r="I18" s="13" t="n">
        <f aca="false">IF(B18=0,0,H18/B18)</f>
        <v>0.192679738562092</v>
      </c>
      <c r="J18" s="11" t="n">
        <f aca="false">IF(G18=0,0,H18/G18)</f>
        <v>0.00980053191489362</v>
      </c>
    </row>
  </sheetData>
  <autoFilter ref="A3:J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9" t="s">
        <v>235</v>
      </c>
    </row>
    <row r="2" customFormat="false" ht="26.85" hidden="false" customHeight="false" outlineLevel="0" collapsed="false">
      <c r="A2" s="30" t="s">
        <v>236</v>
      </c>
    </row>
    <row r="3" customFormat="false" ht="26.85" hidden="false" customHeight="false" outlineLevel="0" collapsed="false">
      <c r="A3" s="30" t="s">
        <v>237</v>
      </c>
    </row>
    <row r="4" customFormat="false" ht="26.85" hidden="false" customHeight="false" outlineLevel="0" collapsed="false">
      <c r="A4" s="30" t="s">
        <v>238</v>
      </c>
    </row>
    <row r="5" customFormat="false" ht="15" hidden="false" customHeight="false" outlineLevel="0" collapsed="false">
      <c r="A5" s="30" t="s">
        <v>239</v>
      </c>
    </row>
    <row r="6" customFormat="false" ht="15" hidden="false" customHeight="false" outlineLevel="0" collapsed="false">
      <c r="A6" s="30"/>
    </row>
    <row r="7" customFormat="false" ht="15" hidden="false" customHeight="false" outlineLevel="0" collapsed="false">
      <c r="A7" s="29" t="s">
        <v>240</v>
      </c>
    </row>
    <row r="8" customFormat="false" ht="15" hidden="false" customHeight="false" outlineLevel="0" collapsed="false">
      <c r="A8" s="30" t="s">
        <v>241</v>
      </c>
    </row>
    <row r="9" customFormat="false" ht="15" hidden="false" customHeight="false" outlineLevel="0" collapsed="false">
      <c r="A9" s="30" t="s">
        <v>242</v>
      </c>
    </row>
    <row r="10" customFormat="false" ht="15" hidden="false" customHeight="false" outlineLevel="0" collapsed="false">
      <c r="A10" s="30" t="s">
        <v>243</v>
      </c>
    </row>
    <row r="11" customFormat="false" ht="15" hidden="false" customHeight="false" outlineLevel="0" collapsed="false">
      <c r="A11" s="30" t="s">
        <v>244</v>
      </c>
    </row>
    <row r="12" customFormat="false" ht="15" hidden="false" customHeight="false" outlineLevel="0" collapsed="false">
      <c r="A12" s="30"/>
    </row>
    <row r="13" customFormat="false" ht="15" hidden="false" customHeight="false" outlineLevel="0" collapsed="false">
      <c r="A13" s="29" t="s">
        <v>245</v>
      </c>
    </row>
    <row r="14" customFormat="false" ht="26.85" hidden="false" customHeight="false" outlineLevel="0" collapsed="false">
      <c r="A14" s="30" t="s">
        <v>246</v>
      </c>
    </row>
    <row r="15" customFormat="false" ht="15" hidden="false" customHeight="false" outlineLevel="0" collapsed="false">
      <c r="A15" s="30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2026-10-12T22:54:24Z</dcterms:created>
  <dc:creator>openpyxl</dc:creator>
  <dc:description/>
  <dc:language>en-US</dc:language>
  <cp:lastModifiedBy/>
  <dcterms:modified xsi:type="dcterms:W3CDTF">2026-10-12T22:54:24Z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